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al\OneDrive\SENA\2025\2. Programas\Implementación de prácticas ambientales en el sector avicola\CF01\"/>
    </mc:Choice>
  </mc:AlternateContent>
  <xr:revisionPtr revIDLastSave="0" documentId="13_ncr:1_{ED5FC8D0-EB0A-4D9A-9BE7-176739A58085}" xr6:coauthVersionLast="47" xr6:coauthVersionMax="47" xr10:uidLastSave="{00000000-0000-0000-0000-000000000000}"/>
  <bookViews>
    <workbookView xWindow="-120" yWindow="-120" windowWidth="20730" windowHeight="11040" tabRatio="596" xr2:uid="{00000000-000D-0000-FFFF-FFFF00000000}"/>
  </bookViews>
  <sheets>
    <sheet name="MATRIZ IMPACTOS AMBIENT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S12" i="1" s="1"/>
  <c r="R11" i="1"/>
  <c r="S11" i="1" s="1"/>
  <c r="R10" i="1"/>
  <c r="S10" i="1" s="1"/>
  <c r="R9" i="1" l="1"/>
  <c r="S9" i="1" s="1"/>
  <c r="R8" i="1"/>
  <c r="S8" i="1" s="1"/>
  <c r="R7" i="1"/>
  <c r="S7" i="1" s="1"/>
  <c r="R6" i="1"/>
  <c r="S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nchaparro</author>
  </authors>
  <commentList>
    <comment ref="H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Área de influencia  del impacto en relación con el entorno de la actividad.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Tiempo supuesto de permanencia del impacto desde su aparición.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Reforzamiento de dos o más impactos.</t>
        </r>
      </text>
    </comment>
    <comment ref="K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Forma de manifestación del impacto.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Posibilidad de reconstrucción del recurso afectado como consecuencia del impacto.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5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Grado de destrucción del recurso.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Tiempo que transcurre desde la actividad hasta la aparición del impacto.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Posibilidad de retorno del recurso por medios naturales a las condiciones que tenia antes de la actividad.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Incremento de la manifestación del impacto.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5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Regularidad  de manifestación del impacto.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<sst xmlns="http://schemas.openxmlformats.org/spreadsheetml/2006/main" count="296" uniqueCount="274">
  <si>
    <t>MATRIZ DE IMPACTOS AMBIENTALES PROYECTOCONTRATO DE CONCESIÓN MINERA No. OGI-08451. ESCENARIO SIN SUSTRACCION DE RESERVA FORESTAL</t>
  </si>
  <si>
    <t>VALORACIÓN</t>
  </si>
  <si>
    <t>MATRIZ EVALUACIÓN DE IMPACTOS AMBIENTALES</t>
  </si>
  <si>
    <t>No</t>
  </si>
  <si>
    <t>ACTIVIDAD QUE GENERA EL IMPACTO</t>
  </si>
  <si>
    <t>ASPECTO AMBIENTAL</t>
  </si>
  <si>
    <t>DESCRIPCIÓN OTRO ASPECTO AMBIENTAL</t>
  </si>
  <si>
    <t xml:space="preserve">IMPACTO AMBIENTAL </t>
  </si>
  <si>
    <t>Naturaleza</t>
  </si>
  <si>
    <t>Extensión</t>
  </si>
  <si>
    <t>Persistencia</t>
  </si>
  <si>
    <t>Sinergia</t>
  </si>
  <si>
    <t>Efecto</t>
  </si>
  <si>
    <t>Recuperabilidad</t>
  </si>
  <si>
    <t>Intensidad</t>
  </si>
  <si>
    <t>Momento</t>
  </si>
  <si>
    <t>Reversibilidad</t>
  </si>
  <si>
    <t>Acumulación</t>
  </si>
  <si>
    <t>Periodicidad</t>
  </si>
  <si>
    <t>IMPORTANCIA</t>
  </si>
  <si>
    <t>CLASIFICACIÓN</t>
  </si>
  <si>
    <t>26 otro</t>
  </si>
  <si>
    <t>Cambio en las características físicas del suelo</t>
  </si>
  <si>
    <t>Negativo</t>
  </si>
  <si>
    <t>Columna1</t>
  </si>
  <si>
    <t>Positivo</t>
  </si>
  <si>
    <t>Aspectos ambientales</t>
  </si>
  <si>
    <t>1 consumo de materiales</t>
  </si>
  <si>
    <t>2 consumo de agua</t>
  </si>
  <si>
    <t>3 consumo de energia</t>
  </si>
  <si>
    <t>4 consumo de combustibles</t>
  </si>
  <si>
    <t>5 Generación de residuos aprovechables reciclables</t>
  </si>
  <si>
    <t>6 Generación de residuos aprovechables reutilizables</t>
  </si>
  <si>
    <t>7 Generación de residuos orgánicos aprovechables</t>
  </si>
  <si>
    <t>8 Generación de residuos no aprovechables</t>
  </si>
  <si>
    <t>9 Generación de residuos peligrosos</t>
  </si>
  <si>
    <t>10 Generación de residuos hospitalarios</t>
  </si>
  <si>
    <t>11 Generación de escombros</t>
  </si>
  <si>
    <t>12 Generación de todo tipo de residuos</t>
  </si>
  <si>
    <t>13 Generación de ruido</t>
  </si>
  <si>
    <t>14 Emisiones Atmosféricas (otras)</t>
  </si>
  <si>
    <t>15 Emisiones por fuentes fijas</t>
  </si>
  <si>
    <t>16 Emisiones por fuentes móviles</t>
  </si>
  <si>
    <t>17 Vertimientos</t>
  </si>
  <si>
    <t>18 Generación de calor</t>
  </si>
  <si>
    <t>19 Sobreocupación del espacio</t>
  </si>
  <si>
    <t>22 Criterios ambientales para la adquisición de insumos y materiales</t>
  </si>
  <si>
    <t xml:space="preserve"> 23 Generación de residuos de aparatos eléctricos y electronicos - RAEE</t>
  </si>
  <si>
    <t>24 Generación de vibraciones</t>
  </si>
  <si>
    <t>25 Generación de malos olores</t>
  </si>
  <si>
    <t xml:space="preserve">Cumple </t>
  </si>
  <si>
    <t>Amazonas</t>
  </si>
  <si>
    <t>Centro Acuícola  y Agroindustrial de Gaira</t>
  </si>
  <si>
    <t>Direccionamiento Estratégico</t>
  </si>
  <si>
    <t>1 Consumo de materiales</t>
  </si>
  <si>
    <t>1 Afectación a la fauna</t>
  </si>
  <si>
    <t>1 Aire</t>
  </si>
  <si>
    <t>(+)</t>
  </si>
  <si>
    <t>1 Programa de Ahorro y Uso Eficiente de Energía</t>
  </si>
  <si>
    <t xml:space="preserve">No cumple </t>
  </si>
  <si>
    <t>Antioquia</t>
  </si>
  <si>
    <t xml:space="preserve">Centro Agroecológico y Empresarial </t>
  </si>
  <si>
    <t>Gestión de Tecnologías de Información</t>
  </si>
  <si>
    <t>2 Consumo de agua</t>
  </si>
  <si>
    <t>2 Afectación a la fauna y flora</t>
  </si>
  <si>
    <t>2 Agua</t>
  </si>
  <si>
    <t>(-)</t>
  </si>
  <si>
    <t>2 Programa de Ahorro y Uso Eficiente de Agua</t>
  </si>
  <si>
    <t>No aplica</t>
  </si>
  <si>
    <t>Arauca</t>
  </si>
  <si>
    <t xml:space="preserve">Centro Agroempresarial </t>
  </si>
  <si>
    <t>Gestión del Talento Humano</t>
  </si>
  <si>
    <t>3 Consumo de energía</t>
  </si>
  <si>
    <t>3 Afectación a la flora</t>
  </si>
  <si>
    <t>3 Suelo</t>
  </si>
  <si>
    <t>3 Programa de Manejo de Residuos</t>
  </si>
  <si>
    <t>Atlántico</t>
  </si>
  <si>
    <t>Centro Agroempresarial y Acuícola</t>
  </si>
  <si>
    <t>Relacionamiento Empresarial y Gestión del Cliente</t>
  </si>
  <si>
    <t>4 Consumo de combustibles</t>
  </si>
  <si>
    <t>4 Afectación a la salud humana</t>
  </si>
  <si>
    <t>4 Fauna</t>
  </si>
  <si>
    <t>4 Programa de Control de Vertimientos</t>
  </si>
  <si>
    <t>Bolívar</t>
  </si>
  <si>
    <t>Centro Agroempresarial y Desarrollo Pecuario del Huila</t>
  </si>
  <si>
    <t>Gestión de Formación Profesional Integral</t>
  </si>
  <si>
    <t>5 Agotamiento de los recursos naturales</t>
  </si>
  <si>
    <t>5 Flora</t>
  </si>
  <si>
    <t>5 Programa de Control de Emisiones Atmosféricas</t>
  </si>
  <si>
    <t>Boyacá</t>
  </si>
  <si>
    <t>Centro Agroempresarial y Minero</t>
  </si>
  <si>
    <t>Gestión por Competencias para las Cualificaciones</t>
  </si>
  <si>
    <t>6 Alteración de suelos</t>
  </si>
  <si>
    <t>6 Energético</t>
  </si>
  <si>
    <t>6 Plan de Contingencia</t>
  </si>
  <si>
    <t>Caldas</t>
  </si>
  <si>
    <t>Centro Agroempresarial y Turístico de los Andes</t>
  </si>
  <si>
    <t>Gestión de la Innovación y la Competitividad</t>
  </si>
  <si>
    <t>7 Alteración del habitat</t>
  </si>
  <si>
    <t>7 Todos</t>
  </si>
  <si>
    <t>7 Otro o no aplica</t>
  </si>
  <si>
    <t>Caquetá</t>
  </si>
  <si>
    <t>Centro Agroforestal y Acuícola Arapaima</t>
  </si>
  <si>
    <t>Gestión de Empleo, Orientación Ocupacional y Empleabilidad</t>
  </si>
  <si>
    <t>8 Alteración paisajistica</t>
  </si>
  <si>
    <t>Casanare</t>
  </si>
  <si>
    <t>Centro Agroindustrial</t>
  </si>
  <si>
    <t>Gestión de Emprendimiento y Empresarismo</t>
  </si>
  <si>
    <t>9 Aumento de la actividad económica</t>
  </si>
  <si>
    <t>Cauca</t>
  </si>
  <si>
    <t xml:space="preserve">Centro Agroindustrial del Meta </t>
  </si>
  <si>
    <t>Gestión de Articulación Regional</t>
  </si>
  <si>
    <t>10 Cambio en los usos del suelo</t>
  </si>
  <si>
    <t>Cesar</t>
  </si>
  <si>
    <t>Centro Agroindustrial y Fortalecimiento Empresarial de Casanare</t>
  </si>
  <si>
    <t>Gestión de Infraestructura y Logística</t>
  </si>
  <si>
    <t>11 Cambios en la estabilidad del terreno</t>
  </si>
  <si>
    <t>Choco</t>
  </si>
  <si>
    <t>Centro Agroindustrial y Pesquero de la Costa Pacifica</t>
  </si>
  <si>
    <t>Gestión de Contratación y Convenios</t>
  </si>
  <si>
    <t>12 Conservación de la flora y fauna</t>
  </si>
  <si>
    <t>Córdoba</t>
  </si>
  <si>
    <t>Centro Agropecuario</t>
  </si>
  <si>
    <t>Gestión de Comunicaciones</t>
  </si>
  <si>
    <t>13 Contaminación del recurso agua</t>
  </si>
  <si>
    <t>Cundinamarca</t>
  </si>
  <si>
    <t>Centro Agropecuario de Buga</t>
  </si>
  <si>
    <t>Gestión Documental</t>
  </si>
  <si>
    <t>14 Contaminación del recurso aire</t>
  </si>
  <si>
    <t>Dirección General</t>
  </si>
  <si>
    <t>Centro Agropecuario la Granja</t>
  </si>
  <si>
    <t xml:space="preserve">Gestión de Evaluación y el Control </t>
  </si>
  <si>
    <t>15 Contaminación del recurso suelo</t>
  </si>
  <si>
    <t>Distrito Capital</t>
  </si>
  <si>
    <t>Centro Agropecuario y de Biotecnología el Porvenir</t>
  </si>
  <si>
    <t>Gestión Jurídica</t>
  </si>
  <si>
    <t>16 Contaminación electromágnetica</t>
  </si>
  <si>
    <t>Guainía</t>
  </si>
  <si>
    <t>Centro Agropecuario y de Servicios Ambientales Jiri Jirimo</t>
  </si>
  <si>
    <t>Gestión de Recursos Financieros</t>
  </si>
  <si>
    <t>17 Decrecimiento de la actividad economica</t>
  </si>
  <si>
    <t>Guajira</t>
  </si>
  <si>
    <t>Centro Agroturístico</t>
  </si>
  <si>
    <t>18 Desaparición de cuerpos de agua</t>
  </si>
  <si>
    <t>Guaviare</t>
  </si>
  <si>
    <t xml:space="preserve">Centro Ambiental y Ecoturístico del Nororiente Amazónico </t>
  </si>
  <si>
    <t>19 Desplazamiento de población</t>
  </si>
  <si>
    <t>Huila</t>
  </si>
  <si>
    <t>Centro Atención Sector Agropecuario - Norte de Santander</t>
  </si>
  <si>
    <t>20 Publicidad Exterior Visual</t>
  </si>
  <si>
    <t>20 Erosión</t>
  </si>
  <si>
    <t>Magdalena</t>
  </si>
  <si>
    <t>Centro Atención Sector Agropecuario - Risaralda</t>
  </si>
  <si>
    <t>21 Educación ambiental</t>
  </si>
  <si>
    <t>21 Concientización  ambiental</t>
  </si>
  <si>
    <t>Meta</t>
  </si>
  <si>
    <t>Centro Atención Sector Agropecuario - Santander</t>
  </si>
  <si>
    <t>22 Obtención de materias primas</t>
  </si>
  <si>
    <t>Nariño</t>
  </si>
  <si>
    <t>Centro Biotecnológico del Caribe</t>
  </si>
  <si>
    <t>23 Incorporación de nuevas especies</t>
  </si>
  <si>
    <t>Norte S/der</t>
  </si>
  <si>
    <t>Centro Comercio y Servicios</t>
  </si>
  <si>
    <t>24 Incremento de riesgos y accidentalidad</t>
  </si>
  <si>
    <t>Putumayo</t>
  </si>
  <si>
    <t>Centro de Automatización Industrial</t>
  </si>
  <si>
    <t>25 Modificacion del clima</t>
  </si>
  <si>
    <t>Quindío</t>
  </si>
  <si>
    <t>Centro de Biotecnología Agropecuaria</t>
  </si>
  <si>
    <t>26 Otro</t>
  </si>
  <si>
    <t>26 Obstruccion de cuerpos de agua</t>
  </si>
  <si>
    <t>Risaralda</t>
  </si>
  <si>
    <t>Centro de Biotecnología Industrial</t>
  </si>
  <si>
    <t>27 Perdida de biodiversidad</t>
  </si>
  <si>
    <t>San Andrés</t>
  </si>
  <si>
    <t>Centro de Comercio</t>
  </si>
  <si>
    <t>28 Reducción de afectación al ambiente</t>
  </si>
  <si>
    <t>Santander</t>
  </si>
  <si>
    <t>Centro de Comercio , Industria y Turismo</t>
  </si>
  <si>
    <t>29 Reducción de consumo de energía</t>
  </si>
  <si>
    <t>Sucre</t>
  </si>
  <si>
    <t>Centro de Comercio y Servicios - Atlántico</t>
  </si>
  <si>
    <t>30 Sobrepresión al relleno sanitario</t>
  </si>
  <si>
    <t>Tolima</t>
  </si>
  <si>
    <t>Centro de Comercio y Servicios - Bolivar</t>
  </si>
  <si>
    <t>31 Otro</t>
  </si>
  <si>
    <t>Valle</t>
  </si>
  <si>
    <t>Centro de Comercio y Servicios - Caldas</t>
  </si>
  <si>
    <t>Vaupés</t>
  </si>
  <si>
    <t>Centro de Comercio y Servicios - Cauca</t>
  </si>
  <si>
    <t>Vichada</t>
  </si>
  <si>
    <t>Centro de Comercio y Servicios - Tolima</t>
  </si>
  <si>
    <t>Centro de Comercio, Industria y Turismo de Córdoba</t>
  </si>
  <si>
    <t xml:space="preserve">Centro de Desarrollo Agroempresarial </t>
  </si>
  <si>
    <t>Centro de Desarrollo Agroempresarial y Turístico del Huila</t>
  </si>
  <si>
    <t>Centro de Desarrollo Agroindustrial y Empresarial</t>
  </si>
  <si>
    <t>Centro de Desarrollo Agroindustrial, Turístico y Tecnológico del Guaviare</t>
  </si>
  <si>
    <t xml:space="preserve">Centro de Desarrollo Agropecuario y Agroindustrial </t>
  </si>
  <si>
    <t>Centro de Diseño e Innovación Tecnológica Industrial</t>
  </si>
  <si>
    <t>Centro de Diseño Tecnológico Industrial</t>
  </si>
  <si>
    <t>Centro de Diseño y Metrología</t>
  </si>
  <si>
    <t>Centro de Electricidad y Automatización Industrial CEAI</t>
  </si>
  <si>
    <t>Centro de Electricidad, Electrónica y Telecomunicaciones</t>
  </si>
  <si>
    <t>Centro de Formación Agroindustrial</t>
  </si>
  <si>
    <t>Centro de Formación de Talento Humano en Salud</t>
  </si>
  <si>
    <t>Centro de Formación en Diseño, Confección y Moda</t>
  </si>
  <si>
    <t>Centro de Formación Turística, Gente de Mar y de Servicios</t>
  </si>
  <si>
    <t>Centro de Gestión Administrativa</t>
  </si>
  <si>
    <t xml:space="preserve">Centro de Gestión Administrativa y Fortalecimiento Empresarial </t>
  </si>
  <si>
    <t xml:space="preserve">Centro de Gestión Agroempresarial del Oriente </t>
  </si>
  <si>
    <t>Centro de Gestión de Mercados, Logística y Tecnologías de la Información</t>
  </si>
  <si>
    <t>Centro de Gestión Industrial</t>
  </si>
  <si>
    <t>Centro de Gestión Tecnológica de Servicios</t>
  </si>
  <si>
    <t>Centro de Gestión y Desarrollo Agroindustrial de Arauca</t>
  </si>
  <si>
    <t>Centro de Gestión y Desarrollo Sostenible Surcolombiano</t>
  </si>
  <si>
    <t>Centro de Gestión y Fortalecimiento Socioempresarial</t>
  </si>
  <si>
    <t>Centro de Industria y Construcción</t>
  </si>
  <si>
    <t>Centro de Industria y Servicios del Meta</t>
  </si>
  <si>
    <t>Centro de la Construcción</t>
  </si>
  <si>
    <t>Centro de la Industria, la Empresa y los Servicios</t>
  </si>
  <si>
    <t xml:space="preserve">Centro de la Industria, la Empresa y los Servicios </t>
  </si>
  <si>
    <t>Centro de la Innovación, la Agroindustria y el Turismo</t>
  </si>
  <si>
    <t>Centro de la Innovación, la Tecnología y los Servicios</t>
  </si>
  <si>
    <t>Centro de la Tecnología del Diseño y la Productividad Empresarial</t>
  </si>
  <si>
    <t xml:space="preserve">Centro de Logística y Promoción Ecoturistica del Magdalena </t>
  </si>
  <si>
    <t xml:space="preserve">Centro de los Recursos Naturales Renovables la Salada </t>
  </si>
  <si>
    <t>Centro de Manufactura en Textiles y Cuero</t>
  </si>
  <si>
    <t>Centro de Materiales y Ensayos</t>
  </si>
  <si>
    <t>Centro de Operación y Mantenimiento Minero</t>
  </si>
  <si>
    <t>Centro de Procesos Industriales</t>
  </si>
  <si>
    <t>Centro de Producción y Transformación Agroindustrial de la Orinoquia</t>
  </si>
  <si>
    <t>Centro de Recursos Naturales, Industria y Biodiversidad</t>
  </si>
  <si>
    <t>Centro de Servicios de Salud</t>
  </si>
  <si>
    <t>Centro de Servicios Empresariales y Turísticos</t>
  </si>
  <si>
    <t>Centro de Servicios Financieros</t>
  </si>
  <si>
    <t xml:space="preserve">Centro de Servicios y Gestión Empresarial </t>
  </si>
  <si>
    <t>Centro de Tecnología de la Manufactura Avanzada</t>
  </si>
  <si>
    <t>Centro de Tecnologías Agroindustriales</t>
  </si>
  <si>
    <t>Centro de Tecnologías del Transporte</t>
  </si>
  <si>
    <t>Centro de Tecnologías para la Construcción y la Madera</t>
  </si>
  <si>
    <t xml:space="preserve">Centro de Teleinformática y Producción Industrial </t>
  </si>
  <si>
    <t>Centro del Diseño y Manufactura del Cuero</t>
  </si>
  <si>
    <t>Centro Industrial de Mantenimiento Integral</t>
  </si>
  <si>
    <t>Centro Industrial de Mantenimiento y Manufactura</t>
  </si>
  <si>
    <t>Centro Industrial del Diseño y la Manufactura</t>
  </si>
  <si>
    <t>Centro Industrial y de Aviación</t>
  </si>
  <si>
    <t>Centro Industrial y de Energías Alternativas</t>
  </si>
  <si>
    <t>Centro Industrial y del Desarrollo Tecnológico</t>
  </si>
  <si>
    <t>Centro Industrial y Desarrollo Empresarial de Soacha</t>
  </si>
  <si>
    <t>Centro Internacional de Producción Limpia Lope</t>
  </si>
  <si>
    <t>Centro Latinoamericano de  Especies Menores</t>
  </si>
  <si>
    <t>Centro Metalmecánico</t>
  </si>
  <si>
    <t>Centro Minero</t>
  </si>
  <si>
    <t>Centro Nacional Colombo Alemán</t>
  </si>
  <si>
    <t>Centro Nacional de Asistencia Técnica a la Industria ASTIN</t>
  </si>
  <si>
    <t>Centro Nacional de Hotelería, Turismo y Alimentos</t>
  </si>
  <si>
    <t>Centro Náutico Acuícola y Pesquero</t>
  </si>
  <si>
    <t>Centro Náutico Pesquero de Buenaventura</t>
  </si>
  <si>
    <t>Centro para el Desarrollo Agroecológico y Agroindustrial</t>
  </si>
  <si>
    <t>Centro para el Desarrollo del Hábitat y la Construcción</t>
  </si>
  <si>
    <t>Centro para el Desarrollo Tecnológico de la Construcción</t>
  </si>
  <si>
    <t>Centro para la Biodiversidad y el Turismo del Amazonas</t>
  </si>
  <si>
    <t>Centro para la Formación  Cafetera</t>
  </si>
  <si>
    <t>Centro para la Industria de la Comunicación Grafica</t>
  </si>
  <si>
    <t>Centro para la Industria Petroquímica</t>
  </si>
  <si>
    <t>Centro Pecuario y Agroempresarial</t>
  </si>
  <si>
    <t>Centro Sur Colombiano de Logística Internacional</t>
  </si>
  <si>
    <t>Centro Tecnológico de Gestión Industrial</t>
  </si>
  <si>
    <t>Centro Tecnológico de la Amazonia</t>
  </si>
  <si>
    <t>Centro Tecnológico del Mobiliario</t>
  </si>
  <si>
    <t>Complejo Tecnológico Agroindustrial, Pecuario y Turístico</t>
  </si>
  <si>
    <t>Complejo Tecnológico Minero Agroempresarial</t>
  </si>
  <si>
    <t>Complejo Tecnológico para la Gestión Agroempresarial</t>
  </si>
  <si>
    <t>Complejo Tecnológico Turístico y Agroindustrial del Occidente Antioqueño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</si>
</sst>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0"/>
      <name val="Arial"/>
      <family val="2"/>
    </font>
    <font>
      <b/>
      <sz val="20"/>
      <color theme="0"/>
      <name val="Calibri"/>
      <family val="2"/>
      <scheme val="minor"/>
    </font>
    <font>
      <sz val="20"/>
      <color theme="0"/>
      <name val="Arial"/>
      <family val="2"/>
    </font>
    <font>
      <sz val="20"/>
      <color theme="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/>
      <right/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/>
      <right/>
      <top/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theme="0"/>
      </left>
      <right/>
      <top/>
      <bottom style="dotted">
        <color theme="0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textRotation="90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0" fontId="13" fillId="4" borderId="8" xfId="0" applyFont="1" applyFill="1" applyBorder="1" applyAlignment="1" applyProtection="1">
      <alignment horizontal="left" vertical="center" wrapText="1"/>
      <protection locked="0"/>
    </xf>
    <xf numFmtId="0" fontId="12" fillId="4" borderId="8" xfId="0" applyFont="1" applyFill="1" applyBorder="1" applyAlignment="1" applyProtection="1">
      <alignment horizontal="center" vertical="center"/>
      <protection locked="0"/>
    </xf>
    <xf numFmtId="0" fontId="14" fillId="0" borderId="8" xfId="1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3" fillId="4" borderId="8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TAB3-3" xfId="1" xr:uid="{00000000-0005-0000-0000-000001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B7B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B7B9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D18:D45" totalsRowShown="0" headerRowDxfId="5" dataDxfId="4">
  <autoFilter ref="D18:D45" xr:uid="{00000000-0009-0000-0100-000001000000}"/>
  <tableColumns count="1">
    <tableColumn id="1" xr3:uid="{00000000-0010-0000-0000-000001000000}" name="Columna1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G15:G17" totalsRowShown="0" headerRowDxfId="2" dataDxfId="1">
  <autoFilter ref="G15:G17" xr:uid="{00000000-0009-0000-0100-000003000000}"/>
  <tableColumns count="1">
    <tableColumn id="1" xr3:uid="{00000000-0010-0000-0100-00000100000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T5043"/>
  <sheetViews>
    <sheetView tabSelected="1" topLeftCell="A4" zoomScale="50" zoomScaleNormal="50" zoomScalePageLayoutView="70" workbookViewId="0">
      <pane ySplit="2" topLeftCell="A6" activePane="bottomLeft" state="frozen"/>
      <selection pane="bottomLeft" activeCell="C4" sqref="C4:S4"/>
      <selection activeCell="A4" sqref="A4"/>
    </sheetView>
  </sheetViews>
  <sheetFormatPr defaultColWidth="11.42578125" defaultRowHeight="15"/>
  <cols>
    <col min="1" max="1" width="3" style="1" customWidth="1"/>
    <col min="2" max="2" width="7.7109375" style="1" customWidth="1"/>
    <col min="3" max="3" width="40.5703125" style="1" customWidth="1"/>
    <col min="4" max="4" width="28.28515625" style="1" customWidth="1"/>
    <col min="5" max="5" width="30" style="1" customWidth="1"/>
    <col min="6" max="6" width="28" style="1" customWidth="1"/>
    <col min="7" max="7" width="19.140625" style="1" customWidth="1"/>
    <col min="8" max="8" width="7.7109375" style="1" customWidth="1"/>
    <col min="9" max="12" width="4" style="1" bestFit="1" customWidth="1"/>
    <col min="13" max="13" width="4.5703125" style="1" bestFit="1" customWidth="1"/>
    <col min="14" max="16" width="4" style="1" bestFit="1" customWidth="1"/>
    <col min="17" max="17" width="5" style="1" customWidth="1"/>
    <col min="18" max="18" width="30.7109375" style="1" customWidth="1"/>
    <col min="19" max="19" width="30.5703125" style="1" customWidth="1"/>
    <col min="20" max="49" width="11.42578125" style="1"/>
    <col min="50" max="50" width="8.7109375" style="1" customWidth="1"/>
    <col min="51" max="51" width="22.42578125" style="1" customWidth="1"/>
    <col min="52" max="52" width="13.5703125" style="1" customWidth="1"/>
    <col min="53" max="53" width="53.28515625" style="1" customWidth="1"/>
    <col min="54" max="54" width="25.140625" style="1" customWidth="1"/>
    <col min="55" max="55" width="29.140625" style="1" customWidth="1"/>
    <col min="56" max="56" width="26.28515625" style="1" customWidth="1"/>
    <col min="57" max="69" width="22" style="1" customWidth="1"/>
    <col min="70" max="70" width="42.28515625" style="1" customWidth="1"/>
    <col min="71" max="16384" width="11.42578125" style="1"/>
  </cols>
  <sheetData>
    <row r="2" spans="2:54"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</row>
    <row r="3" spans="2:54" ht="36.75" customHeight="1">
      <c r="B3" s="23" t="s">
        <v>0</v>
      </c>
      <c r="C3" s="24"/>
      <c r="D3" s="24"/>
      <c r="E3" s="24"/>
      <c r="F3" s="24"/>
      <c r="G3" s="25" t="s">
        <v>1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6"/>
    </row>
    <row r="4" spans="2:54" ht="51" customHeight="1">
      <c r="B4" s="12"/>
      <c r="C4" s="27" t="s">
        <v>2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</row>
    <row r="5" spans="2:54" s="3" customFormat="1" ht="192.75" customHeight="1"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4" t="s">
        <v>18</v>
      </c>
      <c r="R5" s="15" t="s">
        <v>19</v>
      </c>
      <c r="S5" s="16" t="s">
        <v>20</v>
      </c>
      <c r="BB5" s="8"/>
    </row>
    <row r="6" spans="2:54" s="2" customFormat="1" ht="76.5" customHeight="1">
      <c r="B6" s="17">
        <v>1</v>
      </c>
      <c r="C6" s="29"/>
      <c r="D6" s="18" t="s">
        <v>21</v>
      </c>
      <c r="E6" s="18"/>
      <c r="F6" s="18" t="s">
        <v>22</v>
      </c>
      <c r="G6" s="19" t="s">
        <v>23</v>
      </c>
      <c r="H6" s="19">
        <v>1</v>
      </c>
      <c r="I6" s="19">
        <v>2</v>
      </c>
      <c r="J6" s="19">
        <v>2</v>
      </c>
      <c r="K6" s="19">
        <v>2</v>
      </c>
      <c r="L6" s="22">
        <v>2</v>
      </c>
      <c r="M6" s="19">
        <v>2</v>
      </c>
      <c r="N6" s="19">
        <v>2</v>
      </c>
      <c r="O6" s="19">
        <v>2</v>
      </c>
      <c r="P6" s="19">
        <v>2</v>
      </c>
      <c r="Q6" s="19">
        <v>2</v>
      </c>
      <c r="R6" s="20">
        <f t="shared" ref="R6:R9" si="0">(3*M6+2*H6+J6+K6+L6+N6+O6+P6+Q6+I6)</f>
        <v>24</v>
      </c>
      <c r="S6" s="21" t="str">
        <f t="shared" ref="S6:S9" si="1">IF(R6&lt;25,"Irrelevante",IF(R6&lt;50,"Moderado",IF(R6&lt;75,"Severo","Crítico")))</f>
        <v>Irrelevante</v>
      </c>
    </row>
    <row r="7" spans="2:54" s="2" customFormat="1" ht="76.5" customHeight="1">
      <c r="B7" s="17">
        <v>2</v>
      </c>
      <c r="C7" s="30"/>
      <c r="D7" s="18"/>
      <c r="E7" s="18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>
        <f t="shared" si="0"/>
        <v>0</v>
      </c>
      <c r="S7" s="21" t="str">
        <f t="shared" si="1"/>
        <v>Irrelevante</v>
      </c>
    </row>
    <row r="8" spans="2:54" s="2" customFormat="1" ht="76.5" customHeight="1">
      <c r="B8" s="17">
        <v>3</v>
      </c>
      <c r="C8" s="30"/>
      <c r="D8" s="18"/>
      <c r="E8" s="18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>
        <f t="shared" si="0"/>
        <v>0</v>
      </c>
      <c r="S8" s="21" t="str">
        <f t="shared" si="1"/>
        <v>Irrelevante</v>
      </c>
    </row>
    <row r="9" spans="2:54" s="2" customFormat="1" ht="124.5" customHeight="1">
      <c r="B9" s="17">
        <v>4</v>
      </c>
      <c r="C9" s="30"/>
      <c r="D9" s="18"/>
      <c r="E9" s="18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>
        <f t="shared" si="0"/>
        <v>0</v>
      </c>
      <c r="S9" s="21" t="str">
        <f t="shared" si="1"/>
        <v>Irrelevante</v>
      </c>
    </row>
    <row r="10" spans="2:54" s="2" customFormat="1" ht="26.25">
      <c r="B10" s="17">
        <v>8</v>
      </c>
      <c r="C10" s="31"/>
      <c r="D10" s="18"/>
      <c r="E10" s="18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>
        <f t="shared" ref="R10" si="2">(3*M10+2*H10+J10+K10+L10+N10+O10+P10+Q10+I10)</f>
        <v>0</v>
      </c>
      <c r="S10" s="21" t="str">
        <f t="shared" ref="S10" si="3">IF(R10&lt;25,"Irrelevante",IF(R10&lt;50,"Moderado",IF(R10&lt;75,"Severo","Crítico")))</f>
        <v>Irrelevante</v>
      </c>
    </row>
    <row r="11" spans="2:54" s="2" customFormat="1" ht="131.25" customHeight="1">
      <c r="B11" s="17">
        <v>9</v>
      </c>
      <c r="C11" s="29"/>
      <c r="D11" s="18"/>
      <c r="E11" s="18"/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>
        <f t="shared" ref="R11:R12" si="4">(3*M11+2*H11+J11+K11+L11+N11+O11+P11+Q11+I11)</f>
        <v>0</v>
      </c>
      <c r="S11" s="21" t="str">
        <f t="shared" ref="S11:S12" si="5">IF(R11&lt;25,"Irrelevante",IF(R11&lt;50,"Moderado",IF(R11&lt;75,"Severo","Crítico")))</f>
        <v>Irrelevante</v>
      </c>
    </row>
    <row r="12" spans="2:54" s="2" customFormat="1" ht="125.25" customHeight="1">
      <c r="B12" s="17">
        <v>10</v>
      </c>
      <c r="C12" s="30"/>
      <c r="D12" s="18"/>
      <c r="E12" s="18"/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>
        <f t="shared" si="4"/>
        <v>0</v>
      </c>
      <c r="S12" s="21" t="str">
        <f t="shared" si="5"/>
        <v>Irrelevante</v>
      </c>
    </row>
    <row r="15" spans="2:54">
      <c r="G15" s="1" t="s">
        <v>24</v>
      </c>
    </row>
    <row r="17" spans="4:7">
      <c r="G17" s="1" t="s">
        <v>25</v>
      </c>
    </row>
    <row r="18" spans="4:7">
      <c r="D18" s="1" t="s">
        <v>24</v>
      </c>
    </row>
    <row r="19" spans="4:7">
      <c r="D19" s="1" t="s">
        <v>26</v>
      </c>
    </row>
    <row r="20" spans="4:7">
      <c r="D20" s="1" t="s">
        <v>27</v>
      </c>
    </row>
    <row r="21" spans="4:7">
      <c r="D21" s="1" t="s">
        <v>28</v>
      </c>
    </row>
    <row r="22" spans="4:7">
      <c r="D22" s="1" t="s">
        <v>29</v>
      </c>
    </row>
    <row r="23" spans="4:7">
      <c r="D23" s="1" t="s">
        <v>30</v>
      </c>
    </row>
    <row r="24" spans="4:7" ht="30">
      <c r="D24" s="1" t="s">
        <v>31</v>
      </c>
    </row>
    <row r="25" spans="4:7" ht="30">
      <c r="D25" s="1" t="s">
        <v>32</v>
      </c>
    </row>
    <row r="26" spans="4:7" ht="30">
      <c r="D26" s="1" t="s">
        <v>33</v>
      </c>
    </row>
    <row r="27" spans="4:7" ht="30">
      <c r="D27" s="1" t="s">
        <v>34</v>
      </c>
    </row>
    <row r="28" spans="4:7" ht="30">
      <c r="D28" s="1" t="s">
        <v>35</v>
      </c>
    </row>
    <row r="29" spans="4:7" ht="27" customHeight="1">
      <c r="D29" s="1" t="s">
        <v>36</v>
      </c>
    </row>
    <row r="30" spans="4:7">
      <c r="D30" s="1" t="s">
        <v>37</v>
      </c>
    </row>
    <row r="31" spans="4:7" ht="30">
      <c r="D31" s="1" t="s">
        <v>38</v>
      </c>
    </row>
    <row r="32" spans="4:7">
      <c r="D32" s="1" t="s">
        <v>39</v>
      </c>
    </row>
    <row r="33" spans="4:4" ht="30">
      <c r="D33" s="1" t="s">
        <v>40</v>
      </c>
    </row>
    <row r="34" spans="4:4" ht="27" customHeight="1">
      <c r="D34" s="1" t="s">
        <v>41</v>
      </c>
    </row>
    <row r="35" spans="4:4" ht="30">
      <c r="D35" s="1" t="s">
        <v>42</v>
      </c>
    </row>
    <row r="36" spans="4:4">
      <c r="D36" s="1" t="s">
        <v>43</v>
      </c>
    </row>
    <row r="37" spans="4:4">
      <c r="D37" s="1" t="s">
        <v>44</v>
      </c>
    </row>
    <row r="38" spans="4:4" ht="30">
      <c r="D38" s="1" t="s">
        <v>45</v>
      </c>
    </row>
    <row r="41" spans="4:4" ht="45">
      <c r="D41" s="1" t="s">
        <v>46</v>
      </c>
    </row>
    <row r="42" spans="4:4" ht="45">
      <c r="D42" s="1" t="s">
        <v>47</v>
      </c>
    </row>
    <row r="43" spans="4:4">
      <c r="D43" s="1" t="s">
        <v>48</v>
      </c>
    </row>
    <row r="44" spans="4:4" ht="30">
      <c r="D44" s="1" t="s">
        <v>49</v>
      </c>
    </row>
    <row r="4928" spans="47:72" ht="31.5">
      <c r="AU4928" s="9" t="s">
        <v>50</v>
      </c>
      <c r="AV4928" s="9"/>
      <c r="AW4928" s="9"/>
      <c r="AX4928" s="9">
        <v>91</v>
      </c>
      <c r="AY4928" s="9" t="s">
        <v>51</v>
      </c>
      <c r="AZ4928" s="10">
        <v>9118</v>
      </c>
      <c r="BA4928" s="9" t="s">
        <v>52</v>
      </c>
      <c r="BB4928" s="11" t="s">
        <v>53</v>
      </c>
      <c r="BC4928" s="9" t="s">
        <v>54</v>
      </c>
      <c r="BD4928" s="9" t="s">
        <v>55</v>
      </c>
      <c r="BE4928" s="9" t="s">
        <v>56</v>
      </c>
      <c r="BF4928" s="9" t="s">
        <v>50</v>
      </c>
      <c r="BG4928" s="9" t="s">
        <v>57</v>
      </c>
      <c r="BH4928" s="9">
        <v>1</v>
      </c>
      <c r="BI4928" s="9">
        <v>1</v>
      </c>
      <c r="BJ4928" s="9">
        <v>1</v>
      </c>
      <c r="BK4928" s="9">
        <v>1</v>
      </c>
      <c r="BL4928" s="9">
        <v>1</v>
      </c>
      <c r="BM4928" s="9">
        <v>1</v>
      </c>
      <c r="BN4928" s="9">
        <v>1</v>
      </c>
      <c r="BO4928" s="9">
        <v>1</v>
      </c>
      <c r="BP4928" s="9">
        <v>1</v>
      </c>
      <c r="BQ4928" s="9">
        <v>1</v>
      </c>
      <c r="BR4928" s="9" t="s">
        <v>58</v>
      </c>
      <c r="BS4928" s="9"/>
      <c r="BT4928" s="9"/>
    </row>
    <row r="4929" spans="47:72" ht="31.5">
      <c r="AU4929" s="9" t="s">
        <v>59</v>
      </c>
      <c r="AV4929" s="9"/>
      <c r="AW4929" s="9"/>
      <c r="AX4929" s="9">
        <v>5</v>
      </c>
      <c r="AY4929" s="9" t="s">
        <v>60</v>
      </c>
      <c r="AZ4929" s="10">
        <v>9510</v>
      </c>
      <c r="BA4929" s="9" t="s">
        <v>61</v>
      </c>
      <c r="BB4929" s="11" t="s">
        <v>62</v>
      </c>
      <c r="BC4929" s="9" t="s">
        <v>63</v>
      </c>
      <c r="BD4929" s="9" t="s">
        <v>64</v>
      </c>
      <c r="BE4929" s="9" t="s">
        <v>65</v>
      </c>
      <c r="BF4929" s="9" t="s">
        <v>59</v>
      </c>
      <c r="BG4929" s="9" t="s">
        <v>66</v>
      </c>
      <c r="BH4929" s="9">
        <v>2</v>
      </c>
      <c r="BI4929" s="9">
        <v>2</v>
      </c>
      <c r="BJ4929" s="9">
        <v>2</v>
      </c>
      <c r="BK4929" s="9">
        <v>4</v>
      </c>
      <c r="BL4929" s="9">
        <v>2</v>
      </c>
      <c r="BM4929" s="9">
        <v>2</v>
      </c>
      <c r="BN4929" s="9">
        <v>2</v>
      </c>
      <c r="BO4929" s="9">
        <v>2</v>
      </c>
      <c r="BP4929" s="9">
        <v>4</v>
      </c>
      <c r="BQ4929" s="9">
        <v>2</v>
      </c>
      <c r="BR4929" s="9" t="s">
        <v>67</v>
      </c>
      <c r="BS4929" s="9"/>
      <c r="BT4929" s="9"/>
    </row>
    <row r="4930" spans="47:72" ht="31.5">
      <c r="AU4930" s="9" t="s">
        <v>68</v>
      </c>
      <c r="AV4930" s="9"/>
      <c r="AW4930" s="9"/>
      <c r="AX4930" s="9">
        <v>81</v>
      </c>
      <c r="AY4930" s="9" t="s">
        <v>69</v>
      </c>
      <c r="AZ4930" s="10">
        <v>9520</v>
      </c>
      <c r="BA4930" s="9" t="s">
        <v>70</v>
      </c>
      <c r="BB4930" s="11" t="s">
        <v>71</v>
      </c>
      <c r="BC4930" s="9" t="s">
        <v>72</v>
      </c>
      <c r="BD4930" s="9" t="s">
        <v>73</v>
      </c>
      <c r="BE4930" s="9" t="s">
        <v>74</v>
      </c>
      <c r="BF4930" s="9"/>
      <c r="BG4930" s="9"/>
      <c r="BH4930" s="9">
        <v>4</v>
      </c>
      <c r="BI4930" s="9">
        <v>4</v>
      </c>
      <c r="BJ4930" s="9">
        <v>4</v>
      </c>
      <c r="BK4930" s="9"/>
      <c r="BL4930" s="9">
        <v>4</v>
      </c>
      <c r="BM4930" s="9">
        <v>4</v>
      </c>
      <c r="BN4930" s="9">
        <v>4</v>
      </c>
      <c r="BO4930" s="9">
        <v>4</v>
      </c>
      <c r="BP4930" s="9"/>
      <c r="BQ4930" s="9"/>
      <c r="BR4930" s="9" t="s">
        <v>75</v>
      </c>
      <c r="BS4930" s="9"/>
      <c r="BT4930" s="9"/>
    </row>
    <row r="4931" spans="47:72" ht="47.25">
      <c r="AU4931" s="9"/>
      <c r="AV4931" s="9"/>
      <c r="AW4931" s="9"/>
      <c r="AX4931" s="9">
        <v>8</v>
      </c>
      <c r="AY4931" s="9" t="s">
        <v>76</v>
      </c>
      <c r="AZ4931" s="10">
        <v>9524</v>
      </c>
      <c r="BA4931" s="9" t="s">
        <v>77</v>
      </c>
      <c r="BB4931" s="11" t="s">
        <v>78</v>
      </c>
      <c r="BC4931" s="9" t="s">
        <v>79</v>
      </c>
      <c r="BD4931" s="9" t="s">
        <v>80</v>
      </c>
      <c r="BE4931" s="9" t="s">
        <v>81</v>
      </c>
      <c r="BF4931" s="9"/>
      <c r="BG4931" s="9"/>
      <c r="BH4931" s="9">
        <v>8</v>
      </c>
      <c r="BI4931" s="9"/>
      <c r="BJ4931" s="9"/>
      <c r="BK4931" s="9"/>
      <c r="BL4931" s="9">
        <v>8</v>
      </c>
      <c r="BM4931" s="9">
        <v>8</v>
      </c>
      <c r="BN4931" s="9"/>
      <c r="BO4931" s="9"/>
      <c r="BP4931" s="9"/>
      <c r="BQ4931" s="9"/>
      <c r="BR4931" s="9" t="s">
        <v>82</v>
      </c>
      <c r="BS4931" s="9"/>
      <c r="BT4931" s="9"/>
    </row>
    <row r="4932" spans="47:72" ht="31.5">
      <c r="AU4932" s="9"/>
      <c r="AV4932" s="9"/>
      <c r="AW4932" s="9"/>
      <c r="AX4932" s="9">
        <v>13</v>
      </c>
      <c r="AY4932" s="9" t="s">
        <v>83</v>
      </c>
      <c r="AZ4932" s="10">
        <v>9525</v>
      </c>
      <c r="BA4932" s="9" t="s">
        <v>84</v>
      </c>
      <c r="BB4932" s="11" t="s">
        <v>85</v>
      </c>
      <c r="BC4932" s="9" t="s">
        <v>31</v>
      </c>
      <c r="BD4932" s="9" t="s">
        <v>86</v>
      </c>
      <c r="BE4932" s="9" t="s">
        <v>87</v>
      </c>
      <c r="BF4932" s="9"/>
      <c r="BG4932" s="9"/>
      <c r="BH4932" s="9"/>
      <c r="BI4932" s="9"/>
      <c r="BJ4932" s="9"/>
      <c r="BK4932" s="9"/>
      <c r="BL4932" s="9"/>
      <c r="BM4932" s="9">
        <v>12</v>
      </c>
      <c r="BN4932" s="9"/>
      <c r="BO4932" s="9"/>
      <c r="BP4932" s="9"/>
      <c r="BQ4932" s="9"/>
      <c r="BR4932" s="9" t="s">
        <v>88</v>
      </c>
      <c r="BS4932" s="9"/>
      <c r="BT4932" s="9"/>
    </row>
    <row r="4933" spans="47:72" ht="47.25">
      <c r="AU4933" s="9"/>
      <c r="AV4933" s="9"/>
      <c r="AW4933" s="9"/>
      <c r="AX4933" s="9">
        <v>15</v>
      </c>
      <c r="AY4933" s="9" t="s">
        <v>89</v>
      </c>
      <c r="AZ4933" s="10">
        <v>9104</v>
      </c>
      <c r="BA4933" s="9" t="s">
        <v>90</v>
      </c>
      <c r="BB4933" s="11" t="s">
        <v>91</v>
      </c>
      <c r="BC4933" s="9" t="s">
        <v>32</v>
      </c>
      <c r="BD4933" s="9" t="s">
        <v>92</v>
      </c>
      <c r="BE4933" s="9" t="s">
        <v>93</v>
      </c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 t="s">
        <v>94</v>
      </c>
      <c r="BS4933" s="9"/>
      <c r="BT4933" s="9"/>
    </row>
    <row r="4934" spans="47:72" ht="31.5">
      <c r="AU4934" s="9"/>
      <c r="AV4934" s="9"/>
      <c r="AW4934" s="9"/>
      <c r="AX4934" s="9">
        <v>17</v>
      </c>
      <c r="AY4934" s="9" t="s">
        <v>95</v>
      </c>
      <c r="AZ4934" s="10">
        <v>9545</v>
      </c>
      <c r="BA4934" s="9" t="s">
        <v>96</v>
      </c>
      <c r="BB4934" s="11" t="s">
        <v>97</v>
      </c>
      <c r="BC4934" s="9" t="s">
        <v>33</v>
      </c>
      <c r="BD4934" s="9" t="s">
        <v>98</v>
      </c>
      <c r="BE4934" s="9" t="s">
        <v>99</v>
      </c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 t="s">
        <v>100</v>
      </c>
      <c r="BS4934" s="9"/>
      <c r="BT4934" s="9"/>
    </row>
    <row r="4935" spans="47:72" ht="47.25">
      <c r="AU4935" s="9"/>
      <c r="AV4935" s="9"/>
      <c r="AW4935" s="9"/>
      <c r="AX4935" s="9">
        <v>18</v>
      </c>
      <c r="AY4935" s="9" t="s">
        <v>101</v>
      </c>
      <c r="AZ4935" s="10">
        <v>9518</v>
      </c>
      <c r="BA4935" s="9" t="s">
        <v>102</v>
      </c>
      <c r="BB4935" s="11" t="s">
        <v>103</v>
      </c>
      <c r="BC4935" s="9" t="s">
        <v>34</v>
      </c>
      <c r="BD4935" s="9" t="s">
        <v>104</v>
      </c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s="9"/>
    </row>
    <row r="4936" spans="47:72" ht="47.25">
      <c r="AU4936" s="9"/>
      <c r="AV4936" s="9"/>
      <c r="AW4936" s="9"/>
      <c r="AX4936" s="9">
        <v>85</v>
      </c>
      <c r="AY4936" s="9" t="s">
        <v>105</v>
      </c>
      <c r="AZ4936" s="10">
        <v>9120</v>
      </c>
      <c r="BA4936" s="9" t="s">
        <v>106</v>
      </c>
      <c r="BB4936" s="11" t="s">
        <v>107</v>
      </c>
      <c r="BC4936" s="9" t="s">
        <v>35</v>
      </c>
      <c r="BD4936" s="9" t="s">
        <v>108</v>
      </c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s="9"/>
    </row>
    <row r="4937" spans="47:72" ht="31.5">
      <c r="AU4937" s="9"/>
      <c r="AV4937" s="9"/>
      <c r="AW4937" s="9"/>
      <c r="AX4937" s="9">
        <v>19</v>
      </c>
      <c r="AY4937" s="9" t="s">
        <v>109</v>
      </c>
      <c r="AZ4937" s="10">
        <v>9117</v>
      </c>
      <c r="BA4937" s="9" t="s">
        <v>110</v>
      </c>
      <c r="BB4937" s="11" t="s">
        <v>111</v>
      </c>
      <c r="BC4937" s="9" t="s">
        <v>36</v>
      </c>
      <c r="BD4937" s="9" t="s">
        <v>112</v>
      </c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s="9"/>
    </row>
    <row r="4938" spans="47:72" ht="47.25">
      <c r="AU4938" s="9"/>
      <c r="AV4938" s="9"/>
      <c r="AW4938" s="9"/>
      <c r="AX4938" s="9">
        <v>20</v>
      </c>
      <c r="AY4938" s="9" t="s">
        <v>113</v>
      </c>
      <c r="AZ4938" s="10">
        <v>9519</v>
      </c>
      <c r="BA4938" s="9" t="s">
        <v>114</v>
      </c>
      <c r="BB4938" s="11" t="s">
        <v>115</v>
      </c>
      <c r="BC4938" s="9" t="s">
        <v>37</v>
      </c>
      <c r="BD4938" s="9" t="s">
        <v>116</v>
      </c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s="9"/>
    </row>
    <row r="4939" spans="47:72" ht="31.5">
      <c r="AU4939" s="9"/>
      <c r="AV4939" s="9"/>
      <c r="AW4939" s="9"/>
      <c r="AX4939" s="9">
        <v>27</v>
      </c>
      <c r="AY4939" s="9" t="s">
        <v>117</v>
      </c>
      <c r="AZ4939" s="10">
        <v>9535</v>
      </c>
      <c r="BA4939" s="9" t="s">
        <v>118</v>
      </c>
      <c r="BB4939" s="11" t="s">
        <v>119</v>
      </c>
      <c r="BC4939" s="9" t="s">
        <v>38</v>
      </c>
      <c r="BD4939" s="9" t="s">
        <v>120</v>
      </c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s="9"/>
    </row>
    <row r="4940" spans="47:72" ht="31.5">
      <c r="AU4940" s="9"/>
      <c r="AV4940" s="9"/>
      <c r="AW4940" s="9"/>
      <c r="AX4940" s="9">
        <v>23</v>
      </c>
      <c r="AY4940" s="9" t="s">
        <v>121</v>
      </c>
      <c r="AZ4940" s="10">
        <v>9113</v>
      </c>
      <c r="BA4940" s="9" t="s">
        <v>122</v>
      </c>
      <c r="BB4940" s="11" t="s">
        <v>123</v>
      </c>
      <c r="BC4940" s="9" t="s">
        <v>39</v>
      </c>
      <c r="BD4940" s="9" t="s">
        <v>124</v>
      </c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s="9"/>
    </row>
    <row r="4941" spans="47:72" ht="30">
      <c r="AU4941" s="9"/>
      <c r="AV4941" s="9"/>
      <c r="AW4941" s="9"/>
      <c r="AX4941" s="9">
        <v>25</v>
      </c>
      <c r="AY4941" s="9" t="s">
        <v>125</v>
      </c>
      <c r="AZ4941" s="10">
        <v>9124</v>
      </c>
      <c r="BA4941" s="9" t="s">
        <v>126</v>
      </c>
      <c r="BB4941" s="11" t="s">
        <v>127</v>
      </c>
      <c r="BC4941" s="9" t="s">
        <v>40</v>
      </c>
      <c r="BD4941" s="9" t="s">
        <v>128</v>
      </c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s="9"/>
    </row>
    <row r="4942" spans="47:72" ht="31.5">
      <c r="AU4942" s="9"/>
      <c r="AV4942" s="9"/>
      <c r="AW4942" s="9"/>
      <c r="AX4942" s="9">
        <v>1</v>
      </c>
      <c r="AY4942" s="9" t="s">
        <v>129</v>
      </c>
      <c r="AZ4942" s="10">
        <v>9123</v>
      </c>
      <c r="BA4942" s="9" t="s">
        <v>130</v>
      </c>
      <c r="BB4942" s="11" t="s">
        <v>131</v>
      </c>
      <c r="BC4942" s="9" t="s">
        <v>41</v>
      </c>
      <c r="BD4942" s="9" t="s">
        <v>132</v>
      </c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s="9"/>
    </row>
    <row r="4943" spans="47:72" ht="30">
      <c r="AU4943" s="9"/>
      <c r="AV4943" s="9"/>
      <c r="AW4943" s="9"/>
      <c r="AX4943" s="9">
        <v>11</v>
      </c>
      <c r="AY4943" s="9" t="s">
        <v>133</v>
      </c>
      <c r="AZ4943" s="10">
        <v>9115</v>
      </c>
      <c r="BA4943" s="9" t="s">
        <v>134</v>
      </c>
      <c r="BB4943" s="11" t="s">
        <v>135</v>
      </c>
      <c r="BC4943" s="9" t="s">
        <v>42</v>
      </c>
      <c r="BD4943" s="9" t="s">
        <v>136</v>
      </c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s="9"/>
    </row>
    <row r="4944" spans="47:72" ht="31.5">
      <c r="AU4944" s="9"/>
      <c r="AV4944" s="9"/>
      <c r="AW4944" s="9"/>
      <c r="AX4944" s="9">
        <v>94</v>
      </c>
      <c r="AY4944" s="9" t="s">
        <v>137</v>
      </c>
      <c r="AZ4944" s="10">
        <v>9548</v>
      </c>
      <c r="BA4944" s="9" t="s">
        <v>138</v>
      </c>
      <c r="BB4944" s="11" t="s">
        <v>139</v>
      </c>
      <c r="BC4944" s="9" t="s">
        <v>43</v>
      </c>
      <c r="BD4944" s="9" t="s">
        <v>140</v>
      </c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s="9"/>
    </row>
    <row r="4945" spans="47:72" ht="30">
      <c r="AU4945" s="9"/>
      <c r="AV4945" s="9"/>
      <c r="AW4945" s="9"/>
      <c r="AX4945" s="9">
        <v>44</v>
      </c>
      <c r="AY4945" s="9" t="s">
        <v>141</v>
      </c>
      <c r="AZ4945" s="10">
        <v>9541</v>
      </c>
      <c r="BA4945" s="9" t="s">
        <v>142</v>
      </c>
      <c r="BB4945" s="9"/>
      <c r="BC4945" s="9" t="s">
        <v>44</v>
      </c>
      <c r="BD4945" s="9" t="s">
        <v>143</v>
      </c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s="9"/>
    </row>
    <row r="4946" spans="47:72" ht="30">
      <c r="AU4946" s="9"/>
      <c r="AV4946" s="9"/>
      <c r="AW4946" s="9"/>
      <c r="AX4946" s="9">
        <v>95</v>
      </c>
      <c r="AY4946" s="9" t="s">
        <v>144</v>
      </c>
      <c r="AZ4946" s="10">
        <v>9547</v>
      </c>
      <c r="BA4946" s="9" t="s">
        <v>145</v>
      </c>
      <c r="BB4946" s="9"/>
      <c r="BC4946" s="9" t="s">
        <v>45</v>
      </c>
      <c r="BD4946" s="9" t="s">
        <v>146</v>
      </c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s="9"/>
    </row>
    <row r="4947" spans="47:72" ht="30">
      <c r="AU4947" s="9"/>
      <c r="AV4947" s="9"/>
      <c r="AW4947" s="9"/>
      <c r="AX4947" s="9">
        <v>41</v>
      </c>
      <c r="AY4947" s="9" t="s">
        <v>147</v>
      </c>
      <c r="AZ4947" s="9">
        <v>9119</v>
      </c>
      <c r="BA4947" s="9" t="s">
        <v>148</v>
      </c>
      <c r="BB4947" s="9"/>
      <c r="BC4947" s="9" t="s">
        <v>149</v>
      </c>
      <c r="BD4947" s="9" t="s">
        <v>150</v>
      </c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s="9"/>
    </row>
    <row r="4948" spans="47:72" ht="30">
      <c r="AU4948" s="9"/>
      <c r="AV4948" s="9"/>
      <c r="AW4948" s="9"/>
      <c r="AX4948" s="9">
        <v>47</v>
      </c>
      <c r="AY4948" s="9" t="s">
        <v>151</v>
      </c>
      <c r="AZ4948" s="9">
        <v>9121</v>
      </c>
      <c r="BA4948" s="9" t="s">
        <v>152</v>
      </c>
      <c r="BB4948" s="9"/>
      <c r="BC4948" s="9" t="s">
        <v>153</v>
      </c>
      <c r="BD4948" s="9" t="s">
        <v>154</v>
      </c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s="9"/>
    </row>
    <row r="4949" spans="47:72" ht="45">
      <c r="AU4949" s="9"/>
      <c r="AV4949" s="9"/>
      <c r="AW4949" s="9"/>
      <c r="AX4949" s="9">
        <v>50</v>
      </c>
      <c r="AY4949" s="9" t="s">
        <v>155</v>
      </c>
      <c r="AZ4949" s="9">
        <v>9122</v>
      </c>
      <c r="BA4949" s="9" t="s">
        <v>156</v>
      </c>
      <c r="BB4949" s="9"/>
      <c r="BC4949" s="9" t="s">
        <v>46</v>
      </c>
      <c r="BD4949" s="9" t="s">
        <v>157</v>
      </c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s="9"/>
    </row>
    <row r="4950" spans="47:72" ht="45">
      <c r="AU4950" s="9"/>
      <c r="AV4950" s="9"/>
      <c r="AW4950" s="9"/>
      <c r="AX4950" s="9">
        <v>52</v>
      </c>
      <c r="AY4950" s="9" t="s">
        <v>158</v>
      </c>
      <c r="AZ4950" s="10">
        <v>9114</v>
      </c>
      <c r="BA4950" s="9" t="s">
        <v>159</v>
      </c>
      <c r="BB4950" s="9"/>
      <c r="BC4950" s="9" t="s">
        <v>47</v>
      </c>
      <c r="BD4950" s="9" t="s">
        <v>160</v>
      </c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s="9"/>
    </row>
    <row r="4951" spans="47:72" ht="30">
      <c r="AU4951" s="9"/>
      <c r="AV4951" s="9"/>
      <c r="AW4951" s="9"/>
      <c r="AX4951" s="9">
        <v>54</v>
      </c>
      <c r="AY4951" s="9" t="s">
        <v>161</v>
      </c>
      <c r="AZ4951" s="10">
        <v>9308</v>
      </c>
      <c r="BA4951" s="9" t="s">
        <v>162</v>
      </c>
      <c r="BB4951" s="9"/>
      <c r="BC4951" s="9" t="s">
        <v>48</v>
      </c>
      <c r="BD4951" s="9" t="s">
        <v>163</v>
      </c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s="9"/>
    </row>
    <row r="4952" spans="47:72">
      <c r="AU4952" s="9"/>
      <c r="AV4952" s="9"/>
      <c r="AW4952" s="9"/>
      <c r="AX4952" s="9">
        <v>86</v>
      </c>
      <c r="AY4952" s="9" t="s">
        <v>164</v>
      </c>
      <c r="AZ4952" s="10">
        <v>9219</v>
      </c>
      <c r="BA4952" s="9" t="s">
        <v>165</v>
      </c>
      <c r="BB4952" s="9"/>
      <c r="BC4952" s="9" t="s">
        <v>49</v>
      </c>
      <c r="BD4952" s="9" t="s">
        <v>166</v>
      </c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s="9"/>
    </row>
    <row r="4953" spans="47:72" ht="30">
      <c r="AU4953" s="9"/>
      <c r="AV4953" s="9"/>
      <c r="AW4953" s="9"/>
      <c r="AX4953" s="9">
        <v>63</v>
      </c>
      <c r="AY4953" s="9" t="s">
        <v>167</v>
      </c>
      <c r="AZ4953" s="10">
        <v>9512</v>
      </c>
      <c r="BA4953" s="9" t="s">
        <v>168</v>
      </c>
      <c r="BB4953" s="9"/>
      <c r="BC4953" s="9" t="s">
        <v>169</v>
      </c>
      <c r="BD4953" s="9" t="s">
        <v>170</v>
      </c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s="9"/>
    </row>
    <row r="4954" spans="47:72">
      <c r="AU4954" s="9"/>
      <c r="AV4954" s="9"/>
      <c r="AW4954" s="9"/>
      <c r="AX4954" s="9">
        <v>66</v>
      </c>
      <c r="AY4954" s="9" t="s">
        <v>171</v>
      </c>
      <c r="AZ4954" s="10">
        <v>9544</v>
      </c>
      <c r="BA4954" s="9" t="s">
        <v>172</v>
      </c>
      <c r="BB4954" s="9"/>
      <c r="BC4954" s="9"/>
      <c r="BD4954" s="9" t="s">
        <v>173</v>
      </c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s="9"/>
    </row>
    <row r="4955" spans="47:72" ht="30">
      <c r="AU4955" s="9"/>
      <c r="AV4955" s="9"/>
      <c r="AW4955" s="9"/>
      <c r="AX4955" s="9">
        <v>88</v>
      </c>
      <c r="AY4955" s="9" t="s">
        <v>174</v>
      </c>
      <c r="AZ4955" s="10">
        <v>9301</v>
      </c>
      <c r="BA4955" s="9" t="s">
        <v>175</v>
      </c>
      <c r="BB4955" s="9"/>
      <c r="BC4955" s="9"/>
      <c r="BD4955" s="9" t="s">
        <v>176</v>
      </c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s="9"/>
    </row>
    <row r="4956" spans="47:72" ht="30">
      <c r="AU4956" s="9"/>
      <c r="AV4956" s="9"/>
      <c r="AW4956" s="9"/>
      <c r="AX4956" s="9">
        <v>68</v>
      </c>
      <c r="AY4956" s="9" t="s">
        <v>177</v>
      </c>
      <c r="AZ4956" s="10">
        <v>9538</v>
      </c>
      <c r="BA4956" s="9" t="s">
        <v>178</v>
      </c>
      <c r="BB4956" s="9"/>
      <c r="BC4956" s="9"/>
      <c r="BD4956" s="9" t="s">
        <v>179</v>
      </c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s="9"/>
    </row>
    <row r="4957" spans="47:72" ht="30">
      <c r="AU4957" s="9"/>
      <c r="AV4957" s="9"/>
      <c r="AW4957" s="9"/>
      <c r="AX4957" s="9">
        <v>70</v>
      </c>
      <c r="AY4957" s="9" t="s">
        <v>180</v>
      </c>
      <c r="AZ4957" s="9">
        <v>9302</v>
      </c>
      <c r="BA4957" s="9" t="s">
        <v>181</v>
      </c>
      <c r="BB4957" s="9"/>
      <c r="BC4957" s="9"/>
      <c r="BD4957" s="9" t="s">
        <v>182</v>
      </c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s="9"/>
    </row>
    <row r="4958" spans="47:72">
      <c r="AU4958" s="9"/>
      <c r="AV4958" s="9"/>
      <c r="AW4958" s="9"/>
      <c r="AX4958" s="9">
        <v>73</v>
      </c>
      <c r="AY4958" s="9" t="s">
        <v>183</v>
      </c>
      <c r="AZ4958" s="9">
        <v>9304</v>
      </c>
      <c r="BA4958" s="9" t="s">
        <v>184</v>
      </c>
      <c r="BB4958" s="9"/>
      <c r="BC4958" s="9"/>
      <c r="BD4958" s="9" t="s">
        <v>185</v>
      </c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s="9"/>
    </row>
    <row r="4959" spans="47:72">
      <c r="AU4959" s="9"/>
      <c r="AV4959" s="9"/>
      <c r="AW4959" s="9"/>
      <c r="AX4959" s="9">
        <v>76</v>
      </c>
      <c r="AY4959" s="9" t="s">
        <v>186</v>
      </c>
      <c r="AZ4959" s="9">
        <v>9306</v>
      </c>
      <c r="BA4959" s="9" t="s">
        <v>187</v>
      </c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s="9"/>
    </row>
    <row r="4960" spans="47:72">
      <c r="AU4960" s="9"/>
      <c r="AV4960" s="9"/>
      <c r="AW4960" s="9"/>
      <c r="AX4960" s="9">
        <v>97</v>
      </c>
      <c r="AY4960" s="9" t="s">
        <v>188</v>
      </c>
      <c r="AZ4960" s="9">
        <v>9307</v>
      </c>
      <c r="BA4960" s="9" t="s">
        <v>189</v>
      </c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s="9"/>
    </row>
    <row r="4961" spans="47:72">
      <c r="AU4961" s="9"/>
      <c r="AV4961" s="9"/>
      <c r="AW4961" s="9"/>
      <c r="AX4961" s="9">
        <v>99</v>
      </c>
      <c r="AY4961" s="9" t="s">
        <v>190</v>
      </c>
      <c r="AZ4961" s="9">
        <v>9310</v>
      </c>
      <c r="BA4961" s="9" t="s">
        <v>191</v>
      </c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s="9"/>
    </row>
    <row r="4962" spans="47:72">
      <c r="AU4962" s="9"/>
      <c r="AV4962" s="9"/>
      <c r="AW4962" s="9"/>
      <c r="AX4962" s="9"/>
      <c r="AY4962" s="9"/>
      <c r="AZ4962" s="10">
        <v>9523</v>
      </c>
      <c r="BA4962" s="9" t="s">
        <v>192</v>
      </c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s="9"/>
    </row>
    <row r="4963" spans="47:72">
      <c r="AU4963" s="9"/>
      <c r="AV4963" s="9"/>
      <c r="AW4963" s="9"/>
      <c r="AX4963" s="9"/>
      <c r="AY4963" s="9"/>
      <c r="AZ4963" s="10">
        <v>9513</v>
      </c>
      <c r="BA4963" s="9" t="s">
        <v>193</v>
      </c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s="9"/>
    </row>
    <row r="4964" spans="47:72" ht="30">
      <c r="AU4964" s="9"/>
      <c r="AV4964" s="9"/>
      <c r="AW4964" s="9"/>
      <c r="AX4964" s="9"/>
      <c r="AY4964" s="9"/>
      <c r="AZ4964" s="10">
        <v>9526</v>
      </c>
      <c r="BA4964" s="9" t="s">
        <v>194</v>
      </c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s="9"/>
    </row>
    <row r="4965" spans="47:72">
      <c r="AU4965" s="9"/>
      <c r="AV4965" s="9"/>
      <c r="AW4965" s="9"/>
      <c r="AX4965" s="9"/>
      <c r="AY4965" s="9"/>
      <c r="AZ4965" s="10">
        <v>9509</v>
      </c>
      <c r="BA4965" s="9" t="s">
        <v>195</v>
      </c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s="9"/>
    </row>
    <row r="4966" spans="47:72" ht="30">
      <c r="AU4966" s="9"/>
      <c r="AV4966" s="9"/>
      <c r="AW4966" s="9"/>
      <c r="AX4966" s="9"/>
      <c r="AY4966" s="9"/>
      <c r="AZ4966" s="10">
        <v>9533</v>
      </c>
      <c r="BA4966" s="9" t="s">
        <v>196</v>
      </c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s="9"/>
    </row>
    <row r="4967" spans="47:72">
      <c r="AU4967" s="9"/>
      <c r="AV4967" s="9"/>
      <c r="AW4967" s="9"/>
      <c r="AX4967" s="9"/>
      <c r="AY4967" s="9"/>
      <c r="AZ4967" s="10">
        <v>9110</v>
      </c>
      <c r="BA4967" s="9" t="s">
        <v>197</v>
      </c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s="9"/>
    </row>
    <row r="4968" spans="47:72">
      <c r="AU4968" s="9"/>
      <c r="AV4968" s="9"/>
      <c r="AW4968" s="9"/>
      <c r="AX4968" s="9"/>
      <c r="AY4968" s="9"/>
      <c r="AZ4968" s="10">
        <v>9223</v>
      </c>
      <c r="BA4968" s="9" t="s">
        <v>198</v>
      </c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s="9"/>
    </row>
    <row r="4969" spans="47:72">
      <c r="AU4969" s="9"/>
      <c r="AV4969" s="9"/>
      <c r="AW4969" s="9"/>
      <c r="AX4969" s="9"/>
      <c r="AY4969" s="9"/>
      <c r="AZ4969" s="10">
        <v>9229</v>
      </c>
      <c r="BA4969" s="9" t="s">
        <v>199</v>
      </c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s="9"/>
    </row>
    <row r="4970" spans="47:72">
      <c r="AU4970" s="9"/>
      <c r="AV4970" s="9"/>
      <c r="AW4970" s="9"/>
      <c r="AX4970" s="9"/>
      <c r="AY4970" s="9"/>
      <c r="AZ4970" s="10">
        <v>9216</v>
      </c>
      <c r="BA4970" s="9" t="s">
        <v>200</v>
      </c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s="9"/>
    </row>
    <row r="4971" spans="47:72">
      <c r="AU4971" s="9"/>
      <c r="AV4971" s="9"/>
      <c r="AW4971" s="9"/>
      <c r="AX4971" s="9"/>
      <c r="AY4971" s="9"/>
      <c r="AZ4971" s="10">
        <v>9227</v>
      </c>
      <c r="BA4971" s="9" t="s">
        <v>201</v>
      </c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s="9"/>
    </row>
    <row r="4972" spans="47:72">
      <c r="AU4972" s="9"/>
      <c r="AV4972" s="9"/>
      <c r="AW4972" s="9"/>
      <c r="AX4972" s="9"/>
      <c r="AY4972" s="9"/>
      <c r="AZ4972" s="10">
        <v>9210</v>
      </c>
      <c r="BA4972" s="9" t="s">
        <v>202</v>
      </c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s="9"/>
    </row>
    <row r="4973" spans="47:72">
      <c r="AU4973" s="9"/>
      <c r="AV4973" s="9"/>
      <c r="AW4973" s="9"/>
      <c r="AX4973" s="9"/>
      <c r="AY4973" s="9"/>
      <c r="AZ4973" s="10">
        <v>9116</v>
      </c>
      <c r="BA4973" s="9" t="s">
        <v>203</v>
      </c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s="9"/>
    </row>
    <row r="4974" spans="47:72">
      <c r="AU4974" s="9"/>
      <c r="AV4974" s="9"/>
      <c r="AW4974" s="9"/>
      <c r="AX4974" s="9"/>
      <c r="AY4974" s="9"/>
      <c r="AZ4974" s="10">
        <v>9403</v>
      </c>
      <c r="BA4974" s="9" t="s">
        <v>204</v>
      </c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s="9"/>
    </row>
    <row r="4975" spans="47:72">
      <c r="AU4975" s="9"/>
      <c r="AV4975" s="9"/>
      <c r="AW4975" s="9"/>
      <c r="AX4975" s="9"/>
      <c r="AY4975" s="9"/>
      <c r="AZ4975" s="10">
        <v>9202</v>
      </c>
      <c r="BA4975" s="9" t="s">
        <v>205</v>
      </c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s="9"/>
    </row>
    <row r="4976" spans="47:72" ht="30">
      <c r="AU4976" s="9"/>
      <c r="AV4976" s="9"/>
      <c r="AW4976" s="9"/>
      <c r="AX4976" s="9"/>
      <c r="AY4976" s="9"/>
      <c r="AZ4976" s="10">
        <v>9539</v>
      </c>
      <c r="BA4976" s="9" t="s">
        <v>206</v>
      </c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s="9"/>
    </row>
    <row r="4977" spans="47:72">
      <c r="AU4977" s="9"/>
      <c r="AV4977" s="9"/>
      <c r="AW4977" s="9"/>
      <c r="AX4977" s="9"/>
      <c r="AY4977" s="9"/>
      <c r="AZ4977" s="10">
        <v>9404</v>
      </c>
      <c r="BA4977" s="9" t="s">
        <v>207</v>
      </c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s="9"/>
    </row>
    <row r="4978" spans="47:72" ht="30">
      <c r="AU4978" s="9"/>
      <c r="AV4978" s="9"/>
      <c r="AW4978" s="9"/>
      <c r="AX4978" s="9"/>
      <c r="AY4978" s="9"/>
      <c r="AZ4978" s="10">
        <v>9305</v>
      </c>
      <c r="BA4978" s="9" t="s">
        <v>208</v>
      </c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s="9"/>
    </row>
    <row r="4979" spans="47:72">
      <c r="AU4979" s="9"/>
      <c r="AV4979" s="9"/>
      <c r="AW4979" s="9"/>
      <c r="AX4979" s="9"/>
      <c r="AY4979" s="9"/>
      <c r="AZ4979" s="10">
        <v>9546</v>
      </c>
      <c r="BA4979" s="9" t="s">
        <v>209</v>
      </c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s="9"/>
    </row>
    <row r="4980" spans="47:72" ht="30">
      <c r="AU4980" s="9"/>
      <c r="AV4980" s="9"/>
      <c r="AW4980" s="9"/>
      <c r="AX4980" s="9"/>
      <c r="AY4980" s="9"/>
      <c r="AZ4980" s="10">
        <v>9303</v>
      </c>
      <c r="BA4980" s="9" t="s">
        <v>210</v>
      </c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s="9"/>
    </row>
    <row r="4981" spans="47:72">
      <c r="AU4981" s="9"/>
      <c r="AV4981" s="9"/>
      <c r="AW4981" s="9"/>
      <c r="AX4981" s="9"/>
      <c r="AY4981" s="9"/>
      <c r="AZ4981" s="10">
        <v>9211</v>
      </c>
      <c r="BA4981" s="9" t="s">
        <v>211</v>
      </c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s="9"/>
    </row>
    <row r="4982" spans="47:72">
      <c r="AU4982" s="9"/>
      <c r="AV4982" s="9"/>
      <c r="AW4982" s="9"/>
      <c r="AX4982" s="9"/>
      <c r="AY4982" s="9"/>
      <c r="AZ4982" s="10">
        <v>9311</v>
      </c>
      <c r="BA4982" s="9" t="s">
        <v>212</v>
      </c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s="9"/>
    </row>
    <row r="4983" spans="47:72">
      <c r="AU4983" s="9"/>
      <c r="AV4983" s="9"/>
      <c r="AW4983" s="9"/>
      <c r="AX4983" s="9"/>
      <c r="AY4983" s="9"/>
      <c r="AZ4983" s="10">
        <v>9530</v>
      </c>
      <c r="BA4983" s="9" t="s">
        <v>213</v>
      </c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s="9"/>
    </row>
    <row r="4984" spans="47:72">
      <c r="AU4984" s="9"/>
      <c r="AV4984" s="9"/>
      <c r="AW4984" s="9"/>
      <c r="AX4984" s="9"/>
      <c r="AY4984" s="9"/>
      <c r="AZ4984" s="10">
        <v>9528</v>
      </c>
      <c r="BA4984" s="9" t="s">
        <v>214</v>
      </c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s="9"/>
    </row>
    <row r="4985" spans="47:72">
      <c r="AU4985" s="9"/>
      <c r="AV4985" s="9"/>
      <c r="AW4985" s="9"/>
      <c r="AX4985" s="9"/>
      <c r="AY4985" s="9"/>
      <c r="AZ4985" s="10">
        <v>9508</v>
      </c>
      <c r="BA4985" s="9" t="s">
        <v>215</v>
      </c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s="9"/>
    </row>
    <row r="4986" spans="47:72">
      <c r="AU4986" s="9"/>
      <c r="AV4986" s="9"/>
      <c r="AW4986" s="9"/>
      <c r="AX4986" s="9"/>
      <c r="AY4986" s="9"/>
      <c r="AZ4986" s="10">
        <v>9226</v>
      </c>
      <c r="BA4986" s="9" t="s">
        <v>216</v>
      </c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s="9"/>
    </row>
    <row r="4987" spans="47:72">
      <c r="AU4987" s="9"/>
      <c r="AV4987" s="9"/>
      <c r="AW4987" s="9"/>
      <c r="AX4987" s="9"/>
      <c r="AY4987" s="9"/>
      <c r="AZ4987" s="10">
        <v>9532</v>
      </c>
      <c r="BA4987" s="9" t="s">
        <v>217</v>
      </c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s="9"/>
    </row>
    <row r="4988" spans="47:72">
      <c r="AU4988" s="9"/>
      <c r="AV4988" s="9"/>
      <c r="AW4988" s="9"/>
      <c r="AX4988" s="9"/>
      <c r="AY4988" s="9"/>
      <c r="AZ4988" s="10">
        <v>9228</v>
      </c>
      <c r="BA4988" s="9" t="s">
        <v>218</v>
      </c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s="9"/>
    </row>
    <row r="4989" spans="47:72">
      <c r="AU4989" s="9"/>
      <c r="AV4989" s="9"/>
      <c r="AW4989" s="9"/>
      <c r="AX4989" s="9"/>
      <c r="AY4989" s="9"/>
      <c r="AZ4989" s="10">
        <v>9527</v>
      </c>
      <c r="BA4989" s="9" t="s">
        <v>219</v>
      </c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s="9"/>
    </row>
    <row r="4990" spans="47:72">
      <c r="AU4990" s="9"/>
      <c r="AV4990" s="9"/>
      <c r="AW4990" s="9"/>
      <c r="AX4990" s="9"/>
      <c r="AY4990" s="9"/>
      <c r="AZ4990" s="10">
        <v>9537</v>
      </c>
      <c r="BA4990" s="9" t="s">
        <v>220</v>
      </c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s="9"/>
    </row>
    <row r="4991" spans="47:72">
      <c r="AU4991" s="9"/>
      <c r="AV4991" s="9"/>
      <c r="AW4991" s="9"/>
      <c r="AX4991" s="9"/>
      <c r="AY4991" s="9"/>
      <c r="AZ4991" s="10">
        <v>9503</v>
      </c>
      <c r="BA4991" s="9" t="s">
        <v>221</v>
      </c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s="9"/>
    </row>
    <row r="4992" spans="47:72">
      <c r="AU4992" s="9"/>
      <c r="AV4992" s="9"/>
      <c r="AW4992" s="9"/>
      <c r="AX4992" s="9"/>
      <c r="AY4992" s="9"/>
      <c r="AZ4992" s="10">
        <v>9542</v>
      </c>
      <c r="BA4992" s="9" t="s">
        <v>222</v>
      </c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s="9"/>
    </row>
    <row r="4993" spans="47:72" ht="30">
      <c r="AU4993" s="9"/>
      <c r="AV4993" s="9"/>
      <c r="AW4993" s="9"/>
      <c r="AX4993" s="9"/>
      <c r="AY4993" s="9"/>
      <c r="AZ4993" s="10">
        <v>9511</v>
      </c>
      <c r="BA4993" s="9" t="s">
        <v>223</v>
      </c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s="9"/>
    </row>
    <row r="4994" spans="47:72" ht="30">
      <c r="AU4994" s="9"/>
      <c r="AV4994" s="9"/>
      <c r="AW4994" s="9"/>
      <c r="AX4994" s="9"/>
      <c r="AY4994" s="9"/>
      <c r="AZ4994" s="10">
        <v>9529</v>
      </c>
      <c r="BA4994" s="9" t="s">
        <v>224</v>
      </c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s="9"/>
    </row>
    <row r="4995" spans="47:72">
      <c r="AU4995" s="9"/>
      <c r="AV4995" s="9"/>
      <c r="AW4995" s="9"/>
      <c r="AX4995" s="9"/>
      <c r="AY4995" s="9"/>
      <c r="AZ4995" s="10">
        <v>9101</v>
      </c>
      <c r="BA4995" s="9" t="s">
        <v>225</v>
      </c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s="9"/>
    </row>
    <row r="4996" spans="47:72">
      <c r="AU4996" s="9"/>
      <c r="AV4996" s="9"/>
      <c r="AW4996" s="9"/>
      <c r="AX4996" s="9"/>
      <c r="AY4996" s="9"/>
      <c r="AZ4996" s="10">
        <v>9212</v>
      </c>
      <c r="BA4996" s="9" t="s">
        <v>226</v>
      </c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s="9"/>
    </row>
    <row r="4997" spans="47:72">
      <c r="AU4997" s="9"/>
      <c r="AV4997" s="9"/>
      <c r="AW4997" s="9"/>
      <c r="AX4997" s="9"/>
      <c r="AY4997" s="9"/>
      <c r="AZ4997" s="10">
        <v>9215</v>
      </c>
      <c r="BA4997" s="9" t="s">
        <v>227</v>
      </c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s="9"/>
    </row>
    <row r="4998" spans="47:72">
      <c r="AU4998" s="9"/>
      <c r="AV4998" s="9"/>
      <c r="AW4998" s="9"/>
      <c r="AX4998" s="9"/>
      <c r="AY4998" s="9"/>
      <c r="AZ4998" s="10">
        <v>9521</v>
      </c>
      <c r="BA4998" s="9" t="s">
        <v>228</v>
      </c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s="9"/>
    </row>
    <row r="4999" spans="47:72">
      <c r="AU4999" s="9"/>
      <c r="AV4999" s="9"/>
      <c r="AW4999" s="9"/>
      <c r="AX4999" s="9"/>
      <c r="AY4999" s="9"/>
      <c r="AZ4999" s="10">
        <v>9220</v>
      </c>
      <c r="BA4999" s="9" t="s">
        <v>229</v>
      </c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s="9"/>
    </row>
    <row r="5000" spans="47:72" ht="30">
      <c r="AU5000" s="9"/>
      <c r="AV5000" s="9"/>
      <c r="AW5000" s="9"/>
      <c r="AX5000" s="9"/>
      <c r="AY5000" s="9"/>
      <c r="AZ5000" s="10">
        <v>9531</v>
      </c>
      <c r="BA5000" s="9" t="s">
        <v>230</v>
      </c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s="9"/>
    </row>
    <row r="5001" spans="47:72">
      <c r="AU5001" s="9"/>
      <c r="AV5001" s="9"/>
      <c r="AW5001" s="9"/>
      <c r="AX5001" s="9"/>
      <c r="AY5001" s="9"/>
      <c r="AZ5001" s="10">
        <v>9522</v>
      </c>
      <c r="BA5001" s="9" t="s">
        <v>231</v>
      </c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s="9"/>
    </row>
    <row r="5002" spans="47:72">
      <c r="AU5002" s="9"/>
      <c r="AV5002" s="9"/>
      <c r="AW5002" s="9"/>
      <c r="AX5002" s="9"/>
      <c r="AY5002" s="9"/>
      <c r="AZ5002" s="10">
        <v>9401</v>
      </c>
      <c r="BA5002" s="9" t="s">
        <v>232</v>
      </c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s="9"/>
    </row>
    <row r="5003" spans="47:72">
      <c r="AU5003" s="9"/>
      <c r="AV5003" s="9"/>
      <c r="AW5003" s="9"/>
      <c r="AX5003" s="9"/>
      <c r="AY5003" s="9"/>
      <c r="AZ5003" s="10">
        <v>9309</v>
      </c>
      <c r="BA5003" s="9" t="s">
        <v>233</v>
      </c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s="9"/>
    </row>
    <row r="5004" spans="47:72">
      <c r="AU5004" s="9"/>
      <c r="AV5004" s="9"/>
      <c r="AW5004" s="9"/>
      <c r="AX5004" s="9"/>
      <c r="AY5004" s="9"/>
      <c r="AZ5004" s="10">
        <v>9405</v>
      </c>
      <c r="BA5004" s="9" t="s">
        <v>234</v>
      </c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s="9"/>
    </row>
    <row r="5005" spans="47:72">
      <c r="AU5005" s="9"/>
      <c r="AV5005" s="9"/>
      <c r="AW5005" s="9"/>
      <c r="AX5005" s="9"/>
      <c r="AY5005" s="9"/>
      <c r="AZ5005" s="10">
        <v>9402</v>
      </c>
      <c r="BA5005" s="9" t="s">
        <v>235</v>
      </c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s="9"/>
    </row>
    <row r="5006" spans="47:72">
      <c r="AU5006" s="9"/>
      <c r="AV5006" s="9"/>
      <c r="AW5006" s="9"/>
      <c r="AX5006" s="9"/>
      <c r="AY5006" s="9"/>
      <c r="AZ5006" s="10">
        <v>9204</v>
      </c>
      <c r="BA5006" s="9" t="s">
        <v>236</v>
      </c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s="9"/>
    </row>
    <row r="5007" spans="47:72">
      <c r="AU5007" s="9"/>
      <c r="AV5007" s="9"/>
      <c r="AW5007" s="9"/>
      <c r="AX5007" s="9"/>
      <c r="AY5007" s="9"/>
      <c r="AZ5007" s="10">
        <v>9543</v>
      </c>
      <c r="BA5007" s="9" t="s">
        <v>237</v>
      </c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s="9"/>
    </row>
    <row r="5008" spans="47:72">
      <c r="AU5008" s="9"/>
      <c r="AV5008" s="9"/>
      <c r="AW5008" s="9"/>
      <c r="AX5008" s="9"/>
      <c r="AY5008" s="9"/>
      <c r="AZ5008" s="10">
        <v>9213</v>
      </c>
      <c r="BA5008" s="9" t="s">
        <v>238</v>
      </c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s="9"/>
    </row>
    <row r="5009" spans="47:72">
      <c r="AU5009" s="9"/>
      <c r="AV5009" s="9"/>
      <c r="AW5009" s="9"/>
      <c r="AX5009" s="9"/>
      <c r="AY5009" s="9"/>
      <c r="AZ5009" s="10">
        <v>9209</v>
      </c>
      <c r="BA5009" s="9" t="s">
        <v>239</v>
      </c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s="9"/>
    </row>
    <row r="5010" spans="47:72">
      <c r="AU5010" s="9"/>
      <c r="AV5010" s="9"/>
      <c r="AW5010" s="9"/>
      <c r="AX5010" s="9"/>
      <c r="AY5010" s="9"/>
      <c r="AZ5010" s="10">
        <v>9221</v>
      </c>
      <c r="BA5010" s="9" t="s">
        <v>240</v>
      </c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s="9"/>
    </row>
    <row r="5011" spans="47:72">
      <c r="AU5011" s="9"/>
      <c r="AV5011" s="9"/>
      <c r="AW5011" s="9"/>
      <c r="AX5011" s="9"/>
      <c r="AY5011" s="9"/>
      <c r="AZ5011" s="10">
        <v>9201</v>
      </c>
      <c r="BA5011" s="9" t="s">
        <v>241</v>
      </c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s="9"/>
    </row>
    <row r="5012" spans="47:72">
      <c r="AU5012" s="9"/>
      <c r="AV5012" s="9"/>
      <c r="AW5012" s="9"/>
      <c r="AX5012" s="9"/>
      <c r="AY5012" s="9"/>
      <c r="AZ5012" s="10">
        <v>9224</v>
      </c>
      <c r="BA5012" s="9" t="s">
        <v>242</v>
      </c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s="9"/>
    </row>
    <row r="5013" spans="47:72">
      <c r="AU5013" s="9"/>
      <c r="AV5013" s="9"/>
      <c r="AW5013" s="9"/>
      <c r="AX5013" s="9"/>
      <c r="AY5013" s="9"/>
      <c r="AZ5013" s="10">
        <v>9514</v>
      </c>
      <c r="BA5013" s="9" t="s">
        <v>243</v>
      </c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s="9"/>
    </row>
    <row r="5014" spans="47:72">
      <c r="AU5014" s="9"/>
      <c r="AV5014" s="9"/>
      <c r="AW5014" s="9"/>
      <c r="AX5014" s="9"/>
      <c r="AY5014" s="9"/>
      <c r="AZ5014" s="10">
        <v>9225</v>
      </c>
      <c r="BA5014" s="9" t="s">
        <v>244</v>
      </c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s="9"/>
    </row>
    <row r="5015" spans="47:72">
      <c r="AU5015" s="9"/>
      <c r="AV5015" s="9"/>
      <c r="AW5015" s="9"/>
      <c r="AX5015" s="9"/>
      <c r="AY5015" s="9"/>
      <c r="AZ5015" s="10">
        <v>9208</v>
      </c>
      <c r="BA5015" s="9" t="s">
        <v>245</v>
      </c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s="9"/>
    </row>
    <row r="5016" spans="47:72">
      <c r="AU5016" s="9"/>
      <c r="AV5016" s="9"/>
      <c r="AW5016" s="9"/>
      <c r="AX5016" s="9"/>
      <c r="AY5016" s="9"/>
      <c r="AZ5016" s="10">
        <v>9222</v>
      </c>
      <c r="BA5016" s="9" t="s">
        <v>246</v>
      </c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s="9"/>
    </row>
    <row r="5017" spans="47:72">
      <c r="AU5017" s="9"/>
      <c r="AV5017" s="9"/>
      <c r="AW5017" s="9"/>
      <c r="AX5017" s="9"/>
      <c r="AY5017" s="9"/>
      <c r="AZ5017" s="10">
        <v>9540</v>
      </c>
      <c r="BA5017" s="9" t="s">
        <v>247</v>
      </c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s="9"/>
    </row>
    <row r="5018" spans="47:72">
      <c r="AU5018" s="9"/>
      <c r="AV5018" s="9"/>
      <c r="AW5018" s="9"/>
      <c r="AX5018" s="9"/>
      <c r="AY5018" s="9"/>
      <c r="AZ5018" s="10">
        <v>9232</v>
      </c>
      <c r="BA5018" s="9" t="s">
        <v>248</v>
      </c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s="9"/>
    </row>
    <row r="5019" spans="47:72">
      <c r="AU5019" s="9"/>
      <c r="AV5019" s="9"/>
      <c r="AW5019" s="9"/>
      <c r="AX5019" s="9"/>
      <c r="AY5019" s="9"/>
      <c r="AZ5019" s="10">
        <v>9536</v>
      </c>
      <c r="BA5019" s="9" t="s">
        <v>249</v>
      </c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s="9"/>
    </row>
    <row r="5020" spans="47:72">
      <c r="AU5020" s="9"/>
      <c r="AV5020" s="9"/>
      <c r="AW5020" s="9"/>
      <c r="AX5020" s="9"/>
      <c r="AY5020" s="9"/>
      <c r="AZ5020" s="10">
        <v>9125</v>
      </c>
      <c r="BA5020" s="9" t="s">
        <v>250</v>
      </c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s="9"/>
    </row>
    <row r="5021" spans="47:72">
      <c r="AU5021" s="9"/>
      <c r="AV5021" s="9"/>
      <c r="AW5021" s="9"/>
      <c r="AX5021" s="9"/>
      <c r="AY5021" s="9"/>
      <c r="AZ5021" s="10">
        <v>9214</v>
      </c>
      <c r="BA5021" s="9" t="s">
        <v>251</v>
      </c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s="9"/>
    </row>
    <row r="5022" spans="47:72">
      <c r="AU5022" s="9"/>
      <c r="AV5022" s="9"/>
      <c r="AW5022" s="9"/>
      <c r="AX5022" s="9"/>
      <c r="AY5022" s="9"/>
      <c r="AZ5022" s="10">
        <v>9111</v>
      </c>
      <c r="BA5022" s="9" t="s">
        <v>252</v>
      </c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s="9"/>
    </row>
    <row r="5023" spans="47:72">
      <c r="AU5023" s="9"/>
      <c r="AV5023" s="9"/>
      <c r="AW5023" s="9"/>
      <c r="AX5023" s="9"/>
      <c r="AY5023" s="9"/>
      <c r="AZ5023" s="10">
        <v>9207</v>
      </c>
      <c r="BA5023" s="9" t="s">
        <v>253</v>
      </c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s="9"/>
    </row>
    <row r="5024" spans="47:72">
      <c r="AU5024" s="9"/>
      <c r="AV5024" s="9"/>
      <c r="AW5024" s="9"/>
      <c r="AX5024" s="9"/>
      <c r="AY5024" s="9"/>
      <c r="AZ5024" s="10">
        <v>9230</v>
      </c>
      <c r="BA5024" s="9" t="s">
        <v>254</v>
      </c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s="9"/>
    </row>
    <row r="5025" spans="47:72">
      <c r="AU5025" s="9"/>
      <c r="AV5025" s="9"/>
      <c r="AW5025" s="9"/>
      <c r="AX5025" s="9"/>
      <c r="AY5025" s="9"/>
      <c r="AZ5025" s="10">
        <v>9406</v>
      </c>
      <c r="BA5025" s="9" t="s">
        <v>255</v>
      </c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s="9"/>
    </row>
    <row r="5026" spans="47:72">
      <c r="AU5026" s="9"/>
      <c r="AV5026" s="9"/>
      <c r="AW5026" s="9"/>
      <c r="AX5026" s="9"/>
      <c r="AY5026" s="9"/>
      <c r="AZ5026" s="10">
        <v>9105</v>
      </c>
      <c r="BA5026" s="9" t="s">
        <v>256</v>
      </c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s="9"/>
    </row>
    <row r="5027" spans="47:72">
      <c r="AU5027" s="9"/>
      <c r="AV5027" s="9"/>
      <c r="AW5027" s="9"/>
      <c r="AX5027" s="9"/>
      <c r="AY5027" s="9"/>
      <c r="AZ5027" s="10">
        <v>9126</v>
      </c>
      <c r="BA5027" s="9" t="s">
        <v>257</v>
      </c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s="9"/>
    </row>
    <row r="5028" spans="47:72">
      <c r="AU5028" s="9"/>
      <c r="AV5028" s="9"/>
      <c r="AW5028" s="9"/>
      <c r="AX5028" s="9"/>
      <c r="AY5028" s="9"/>
      <c r="AZ5028" s="10">
        <v>9103</v>
      </c>
      <c r="BA5028" s="9" t="s">
        <v>258</v>
      </c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s="9"/>
    </row>
    <row r="5029" spans="47:72">
      <c r="AU5029" s="9"/>
      <c r="AV5029" s="9"/>
      <c r="AW5029" s="9"/>
      <c r="AX5029" s="9"/>
      <c r="AY5029" s="9"/>
      <c r="AZ5029" s="10">
        <v>9203</v>
      </c>
      <c r="BA5029" s="9" t="s">
        <v>259</v>
      </c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s="9"/>
    </row>
    <row r="5030" spans="47:72">
      <c r="AU5030" s="9"/>
      <c r="AV5030" s="9"/>
      <c r="AW5030" s="9"/>
      <c r="AX5030" s="9"/>
      <c r="AY5030" s="9"/>
      <c r="AZ5030" s="10">
        <v>9231</v>
      </c>
      <c r="BA5030" s="9" t="s">
        <v>260</v>
      </c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s="9"/>
    </row>
    <row r="5031" spans="47:72">
      <c r="AU5031" s="9"/>
      <c r="AV5031" s="9"/>
      <c r="AW5031" s="9"/>
      <c r="AX5031" s="9"/>
      <c r="AY5031" s="9"/>
      <c r="AZ5031" s="10">
        <v>9517</v>
      </c>
      <c r="BA5031" s="9" t="s">
        <v>261</v>
      </c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s="9"/>
    </row>
    <row r="5032" spans="47:72">
      <c r="AU5032" s="9"/>
      <c r="AV5032" s="9"/>
      <c r="AW5032" s="9"/>
      <c r="AX5032" s="9"/>
      <c r="AY5032" s="9"/>
      <c r="AZ5032" s="10">
        <v>9112</v>
      </c>
      <c r="BA5032" s="9" t="s">
        <v>262</v>
      </c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s="9"/>
    </row>
    <row r="5033" spans="47:72">
      <c r="AU5033" s="9"/>
      <c r="AV5033" s="9"/>
      <c r="AW5033" s="9"/>
      <c r="AX5033" s="9"/>
      <c r="AY5033" s="9"/>
      <c r="AZ5033" s="10">
        <v>9217</v>
      </c>
      <c r="BA5033" s="9" t="s">
        <v>263</v>
      </c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s="9"/>
    </row>
    <row r="5034" spans="47:72">
      <c r="AU5034" s="9"/>
      <c r="AV5034" s="9"/>
      <c r="AW5034" s="9"/>
      <c r="AX5034" s="9"/>
      <c r="AY5034" s="9"/>
      <c r="AZ5034" s="10">
        <v>9218</v>
      </c>
      <c r="BA5034" s="9" t="s">
        <v>264</v>
      </c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s="9"/>
    </row>
    <row r="5035" spans="47:72">
      <c r="AU5035" s="9"/>
      <c r="AV5035" s="9"/>
      <c r="AW5035" s="9"/>
      <c r="AX5035" s="9"/>
      <c r="AY5035" s="9"/>
      <c r="AZ5035" s="10">
        <v>9515</v>
      </c>
      <c r="BA5035" s="9" t="s">
        <v>265</v>
      </c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s="9"/>
    </row>
    <row r="5036" spans="47:72">
      <c r="AU5036" s="9"/>
      <c r="AV5036" s="9"/>
      <c r="AW5036" s="9"/>
      <c r="AX5036" s="9"/>
      <c r="AY5036" s="9"/>
      <c r="AZ5036" s="10">
        <v>9534</v>
      </c>
      <c r="BA5036" s="9" t="s">
        <v>266</v>
      </c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s="9"/>
    </row>
    <row r="5037" spans="47:72">
      <c r="AU5037" s="9"/>
      <c r="AV5037" s="9"/>
      <c r="AW5037" s="9"/>
      <c r="AX5037" s="9"/>
      <c r="AY5037" s="9"/>
      <c r="AZ5037" s="10">
        <v>9206</v>
      </c>
      <c r="BA5037" s="9" t="s">
        <v>267</v>
      </c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s="9"/>
    </row>
    <row r="5038" spans="47:72">
      <c r="AU5038" s="9"/>
      <c r="AV5038" s="9"/>
      <c r="AW5038" s="9"/>
      <c r="AX5038" s="9"/>
      <c r="AY5038" s="9"/>
      <c r="AZ5038" s="10">
        <v>9516</v>
      </c>
      <c r="BA5038" s="9" t="s">
        <v>268</v>
      </c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s="9"/>
    </row>
    <row r="5039" spans="47:72">
      <c r="AU5039" s="9"/>
      <c r="AV5039" s="9"/>
      <c r="AW5039" s="9"/>
      <c r="AX5039" s="9"/>
      <c r="AY5039" s="9"/>
      <c r="AZ5039" s="10">
        <v>9205</v>
      </c>
      <c r="BA5039" s="9" t="s">
        <v>269</v>
      </c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s="9"/>
    </row>
    <row r="5040" spans="47:72">
      <c r="AU5040" s="9"/>
      <c r="AV5040" s="9"/>
      <c r="AW5040" s="9"/>
      <c r="AX5040" s="9"/>
      <c r="AY5040" s="9"/>
      <c r="AZ5040" s="10">
        <v>9504</v>
      </c>
      <c r="BA5040" s="9" t="s">
        <v>270</v>
      </c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s="9"/>
    </row>
    <row r="5041" spans="47:72">
      <c r="AU5041" s="9"/>
      <c r="AV5041" s="9"/>
      <c r="AW5041" s="9"/>
      <c r="AX5041" s="9"/>
      <c r="AY5041" s="9"/>
      <c r="AZ5041" s="10">
        <v>9502</v>
      </c>
      <c r="BA5041" s="9" t="s">
        <v>271</v>
      </c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s="9"/>
    </row>
    <row r="5042" spans="47:72">
      <c r="AU5042" s="9"/>
      <c r="AV5042" s="9"/>
      <c r="AW5042" s="9"/>
      <c r="AX5042" s="9"/>
      <c r="AY5042" s="9"/>
      <c r="AZ5042" s="10">
        <v>9501</v>
      </c>
      <c r="BA5042" s="9" t="s">
        <v>272</v>
      </c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s="9"/>
    </row>
    <row r="5043" spans="47:72" ht="30">
      <c r="AZ5043" s="4">
        <v>9549</v>
      </c>
      <c r="BA5043" s="1" t="s">
        <v>273</v>
      </c>
    </row>
  </sheetData>
  <mergeCells count="5">
    <mergeCell ref="B3:F3"/>
    <mergeCell ref="G3:S3"/>
    <mergeCell ref="C4:S4"/>
    <mergeCell ref="C6:C10"/>
    <mergeCell ref="C11:C12"/>
  </mergeCells>
  <conditionalFormatting sqref="R6:R12">
    <cfRule type="cellIs" dxfId="13" priority="61" stopIfTrue="1" operator="greaterThanOrEqual">
      <formula>75</formula>
    </cfRule>
    <cfRule type="cellIs" dxfId="12" priority="62" stopIfTrue="1" operator="between">
      <formula>50</formula>
      <formula>75</formula>
    </cfRule>
    <cfRule type="cellIs" dxfId="11" priority="63" stopIfTrue="1" operator="between">
      <formula>25</formula>
      <formula>49</formula>
    </cfRule>
    <cfRule type="cellIs" dxfId="10" priority="64" stopIfTrue="1" operator="between">
      <formula>1</formula>
      <formula>25</formula>
    </cfRule>
  </conditionalFormatting>
  <conditionalFormatting sqref="S6:S12">
    <cfRule type="cellIs" dxfId="9" priority="57" stopIfTrue="1" operator="equal">
      <formula>"Irrelevante"</formula>
    </cfRule>
    <cfRule type="cellIs" dxfId="8" priority="58" stopIfTrue="1" operator="equal">
      <formula>"Moderado"</formula>
    </cfRule>
    <cfRule type="cellIs" dxfId="7" priority="59" stopIfTrue="1" operator="equal">
      <formula>"Severo"</formula>
    </cfRule>
    <cfRule type="cellIs" dxfId="6" priority="60" stopIfTrue="1" operator="equal">
      <formula>"Crítico"</formula>
    </cfRule>
  </conditionalFormatting>
  <dataValidations xWindow="975" yWindow="349" count="5">
    <dataValidation type="list" allowBlank="1" showInputMessage="1" showErrorMessage="1" prompt="Seleccione de la lista, si no lo encuentra seleccione otro." sqref="D11 D6:D9" xr:uid="{00000000-0002-0000-0000-000000000000}">
      <formula1>$D$19:$D$45</formula1>
    </dataValidation>
    <dataValidation type="list" allowBlank="1" showInputMessage="1" showErrorMessage="1" sqref="G6:G9 G11:G12" xr:uid="{00000000-0002-0000-0000-000002000000}">
      <formula1>$G$16:$G$17</formula1>
    </dataValidation>
    <dataValidation type="list" allowBlank="1" showInputMessage="1" showErrorMessage="1" prompt="Seleccione de la lista, si no lo encuentra seleccione otro." sqref="D12 D10" xr:uid="{00000000-0002-0000-0000-000003000000}">
      <formula1>$D$15:$D$41</formula1>
    </dataValidation>
    <dataValidation type="list" allowBlank="1" showInputMessage="1" showErrorMessage="1" sqref="G10" xr:uid="{00000000-0002-0000-0000-000006000000}">
      <formula1>$G$13:$G$13</formula1>
    </dataValidation>
    <dataValidation allowBlank="1" showInputMessage="1" showErrorMessage="1" prompt="Si seleccionó otro en la columna anterior describa brevemente el aspecto." sqref="E6:F12" xr:uid="{00000000-0002-0000-0000-000001000000}"/>
  </dataValidations>
  <pageMargins left="0.7" right="0.7" top="0.75" bottom="0.75" header="0.3" footer="0.3"/>
  <pageSetup paperSize="5" scale="35" orientation="landscape" horizontalDpi="1200" verticalDpi="1200" r:id="rId1"/>
  <headerFooter>
    <oddHeader xml:space="preserve">&amp;CIdentificación de aspectos y valoración de impactos ambientales
</oddHeader>
    <oddFooter>&amp;L&amp;Z&amp;F&amp;RAdriana Patricia Saboyá Ruíz
&amp;D</oddFooter>
  </headerFooter>
  <legacy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50f519-6473-4480-8c44-6ee3a3a530c3" xsi:nil="true"/>
    <lcf76f155ced4ddcb4097134ff3c332f xmlns="d174a4fb-80c2-4523-8d89-375030acac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8A463C70CDF94EBCEAEE24D04F3F8A" ma:contentTypeVersion="12" ma:contentTypeDescription="Crear nuevo documento." ma:contentTypeScope="" ma:versionID="834bbb5c95a1a702615a1bc2f17b6ed0">
  <xsd:schema xmlns:xsd="http://www.w3.org/2001/XMLSchema" xmlns:xs="http://www.w3.org/2001/XMLSchema" xmlns:p="http://schemas.microsoft.com/office/2006/metadata/properties" xmlns:ns2="d174a4fb-80c2-4523-8d89-375030acacbf" xmlns:ns3="b250f519-6473-4480-8c44-6ee3a3a530c3" targetNamespace="http://schemas.microsoft.com/office/2006/metadata/properties" ma:root="true" ma:fieldsID="0fcfb8cdf97bd451fb080aad8514c60e" ns2:_="" ns3:_="">
    <xsd:import namespace="d174a4fb-80c2-4523-8d89-375030acacbf"/>
    <xsd:import namespace="b250f519-6473-4480-8c44-6ee3a3a530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4a4fb-80c2-4523-8d89-375030aca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0f519-6473-4480-8c44-6ee3a3a530c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9aca81-e582-4351-8e44-cebe80f68b03}" ma:internalName="TaxCatchAll" ma:showField="CatchAllData" ma:web="b250f519-6473-4480-8c44-6ee3a3a53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3935C6-A229-4023-A35F-53CF1271CF77}"/>
</file>

<file path=customXml/itemProps2.xml><?xml version="1.0" encoding="utf-8"?>
<ds:datastoreItem xmlns:ds="http://schemas.openxmlformats.org/officeDocument/2006/customXml" ds:itemID="{800E4092-8E44-4A0B-8CCD-4859E3E0D444}"/>
</file>

<file path=customXml/itemProps3.xml><?xml version="1.0" encoding="utf-8"?>
<ds:datastoreItem xmlns:ds="http://schemas.openxmlformats.org/officeDocument/2006/customXml" ds:itemID="{C94973A5-027F-4A2E-B55D-66CE1FB9D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 DIRECCION GENERAL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apsaboya</dc:creator>
  <cp:keywords/>
  <dc:description/>
  <cp:lastModifiedBy>Carlos Julian Ramirez Benitez</cp:lastModifiedBy>
  <cp:revision/>
  <dcterms:created xsi:type="dcterms:W3CDTF">2012-03-15T20:34:27Z</dcterms:created>
  <dcterms:modified xsi:type="dcterms:W3CDTF">2025-09-29T12:37:54Z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0x010100EA8A463C70CDF94EBCEAEE24D04F3F8A</vt:lpwstr>
  </property>
  <property fmtid="{D5CDD505-2E9C-101B-9397-08002B2CF9AE}" pid="3" name="MediaServiceImageTags">
    <vt:lpwstr/>
  </property>
</Properties>
</file>